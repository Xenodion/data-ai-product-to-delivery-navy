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w to fill i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low" sheetId="3" state="visible" r:id="rId3"/>
    <sheet xmlns:r="http://schemas.openxmlformats.org/officeDocument/2006/relationships" name="Read options" sheetId="4" state="visible" r:id="rId4"/>
    <sheet xmlns:r="http://schemas.openxmlformats.org/officeDocument/2006/relationships" name="Upside" sheetId="5" state="visible" r:id="rId5"/>
    <sheet xmlns:r="http://schemas.openxmlformats.org/officeDocument/2006/relationships" name="Decision" sheetId="6" state="visible" r:id="rId6"/>
    <sheet xmlns:r="http://schemas.openxmlformats.org/officeDocument/2006/relationships" name="Build or bu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€#,##0.00;&quot;(€&quot;#,##0.00\);\-"/>
    <numFmt numFmtId="166" formatCode="0.0"/>
    <numFmt numFmtId="167" formatCode="0.0%;\(0.0%\);\-"/>
    <numFmt numFmtId="168" formatCode="\€#,##0;&quot;(€&quot;#,##0\);\-"/>
    <numFmt numFmtId="169" formatCode="#,##0.00;\(#,##0.00\);\-"/>
    <numFmt numFmtId="170" formatCode="\€#,##0.00"/>
    <numFmt numFmtId="171" formatCode="\€0.0000"/>
    <numFmt numFmtId="172" formatCode="0.0&quot;x&quot;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02448"/>
      <sz val="16"/>
    </font>
    <font>
      <name val="Arial"/>
      <charset val="1"/>
      <family val="0"/>
      <b val="1"/>
      <color rgb="FF035CA0"/>
      <sz val="12"/>
    </font>
    <font>
      <name val="Arial"/>
      <charset val="1"/>
      <family val="0"/>
      <color rgb="FF1F2937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02448"/>
      <sz val="11"/>
    </font>
    <font>
      <name val="Arial"/>
      <charset val="1"/>
      <family val="0"/>
      <i val="1"/>
      <color rgb="FF6B7280"/>
      <sz val="11"/>
    </font>
    <font>
      <name val="Arial"/>
      <charset val="1"/>
      <family val="0"/>
      <b val="1"/>
      <color rgb="FF202448"/>
      <sz val="14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35CA0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1"/>
    </font>
    <font>
      <name val="Arial"/>
      <charset val="1"/>
      <family val="0"/>
      <color rgb="FF6B7280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35CA0"/>
      <sz val="10"/>
    </font>
    <font>
      <name val="Arial"/>
      <charset val="1"/>
      <family val="0"/>
      <color rgb="FF0000FF"/>
      <sz val="10"/>
    </font>
    <font>
      <name val="Arial"/>
      <charset val="1"/>
      <family val="2"/>
      <color theme="1"/>
      <sz val="11"/>
    </font>
    <font>
      <name val="Arial"/>
      <charset val="1"/>
      <family val="0"/>
      <b val="1"/>
      <color rgb="FF2EAEE0"/>
      <sz val="11"/>
    </font>
    <font>
      <name val="Arial"/>
      <charset val="1"/>
      <family val="0"/>
      <color rgb="FF202448"/>
      <sz val="11"/>
    </font>
    <font>
      <name val="Arial"/>
      <charset val="1"/>
      <family val="0"/>
      <color rgb="FF6B7280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000000"/>
      <sz val="11"/>
    </font>
    <font>
      <color rgb="FF007A33"/>
    </font>
    <font>
      <b val="1"/>
      <sz val="14"/>
    </font>
    <font>
      <color rgb="FF6B7280"/>
    </font>
    <font>
      <b val="1"/>
    </font>
    <font>
      <b val="1"/>
      <color rgb="FF035CA0"/>
    </font>
    <font>
      <color rgb="FF0000FF"/>
    </font>
    <font>
      <color rgb="FF000000"/>
    </font>
  </fonts>
  <fills count="9">
    <fill>
      <patternFill/>
    </fill>
    <fill>
      <patternFill patternType="gray125"/>
    </fill>
    <fill>
      <patternFill patternType="solid">
        <fgColor rgb="FF202448"/>
        <bgColor rgb="FF1F2937"/>
      </patternFill>
    </fill>
    <fill>
      <patternFill patternType="solid">
        <fgColor rgb="FFF5F7FB"/>
        <bgColor rgb="FFFFFFFF"/>
      </patternFill>
    </fill>
    <fill>
      <patternFill patternType="solid">
        <fgColor rgb="FFFFF2CC"/>
        <bgColor rgb="FFF5F7FB"/>
      </patternFill>
    </fill>
    <fill>
      <patternFill patternType="solid">
        <fgColor rgb="FFEAEFF6"/>
        <bgColor rgb="FFF5F7FB"/>
      </patternFill>
    </fill>
    <fill>
      <patternFill patternType="solid">
        <fgColor rgb="FFFFFF00"/>
        <bgColor rgb="FFFFFF00"/>
      </patternFill>
    </fill>
    <fill>
      <patternFill patternType="solid">
        <fgColor rgb="FFE5E7E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5DBE8"/>
      </left>
      <right style="thin">
        <color rgb="FFD5DBE8"/>
      </right>
      <top style="thin">
        <color rgb="FFD5DBE8"/>
      </top>
      <bottom style="thin">
        <color rgb="FFD5DB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2" fillId="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5" fillId="4" borderId="1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164" fontId="9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5" fillId="4" borderId="1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6" fontId="14" fillId="0" borderId="1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167" fontId="15" fillId="4" borderId="1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8" fontId="15" fillId="4" borderId="1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9" fontId="15" fillId="4" borderId="1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69" fontId="14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8" fontId="15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7" fontId="18" fillId="0" borderId="1" applyAlignment="1" pivotButton="0" quotePrefix="0" xfId="0">
      <alignment horizontal="general" vertical="bottom"/>
    </xf>
    <xf numFmtId="164" fontId="18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168" fontId="14" fillId="0" borderId="1" applyAlignment="1" pivotButton="0" quotePrefix="0" xfId="0">
      <alignment horizontal="general" vertical="bottom"/>
    </xf>
    <xf numFmtId="168" fontId="19" fillId="0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general" vertical="bottom"/>
    </xf>
    <xf numFmtId="168" fontId="18" fillId="0" borderId="1" applyAlignment="1" pivotButton="0" quotePrefix="0" xfId="0">
      <alignment horizontal="general" vertical="bottom"/>
    </xf>
    <xf numFmtId="169" fontId="18" fillId="0" borderId="1" applyAlignment="1" pivotButton="0" quotePrefix="0" xfId="0">
      <alignment horizontal="general" vertical="bottom"/>
    </xf>
    <xf numFmtId="168" fontId="20" fillId="5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1" fillId="6" borderId="0" applyAlignment="1" pivotButton="0" quotePrefix="0" xfId="0">
      <alignment horizontal="general" vertical="bottom" wrapText="1"/>
    </xf>
    <xf numFmtId="167" fontId="22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24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 wrapText="1"/>
    </xf>
    <xf numFmtId="9" fontId="15" fillId="4" borderId="0" applyAlignment="1" pivotButton="0" quotePrefix="0" xfId="0">
      <alignment horizontal="center" vertical="top"/>
    </xf>
    <xf numFmtId="0" fontId="15" fillId="4" borderId="0" applyAlignment="1" pivotButton="0" quotePrefix="0" xfId="0">
      <alignment horizontal="center" vertical="top"/>
    </xf>
    <xf numFmtId="0" fontId="23" fillId="4" borderId="0" applyAlignment="1" pivotButton="0" quotePrefix="0" xfId="0">
      <alignment horizontal="general" vertical="top" wrapText="1"/>
    </xf>
    <xf numFmtId="9" fontId="2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170" fontId="15" fillId="4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4" fontId="27" fillId="0" borderId="0" applyAlignment="1" pivotButton="0" quotePrefix="0" xfId="0">
      <alignment horizontal="general" vertical="bottom"/>
    </xf>
    <xf numFmtId="164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2" fillId="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5" fillId="4" borderId="1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 wrapText="1"/>
    </xf>
    <xf numFmtId="164" fontId="9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5" fillId="4" borderId="1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6" fontId="14" fillId="0" borderId="1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167" fontId="15" fillId="4" borderId="1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7" fontId="29" fillId="4" borderId="1" applyAlignment="1" pivotButton="0" quotePrefix="0" xfId="0">
      <alignment horizontal="general" vertical="bottom"/>
    </xf>
    <xf numFmtId="10" fontId="29" fillId="4" borderId="1" applyAlignment="1" pivotButton="0" quotePrefix="0" xfId="0">
      <alignment horizontal="general" vertical="bottom"/>
    </xf>
    <xf numFmtId="168" fontId="15" fillId="4" borderId="1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5" fontId="29" fillId="4" borderId="1" applyAlignment="1" pivotButton="0" quotePrefix="0" xfId="0">
      <alignment horizontal="general" vertical="bottom"/>
    </xf>
    <xf numFmtId="166" fontId="15" fillId="4" borderId="1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2" fontId="15" fillId="4" borderId="1" applyAlignment="1" pivotButton="0" quotePrefix="0" xfId="0">
      <alignment horizontal="general" vertical="bottom"/>
    </xf>
    <xf numFmtId="1" fontId="15" fillId="4" borderId="1" applyAlignment="1" pivotButton="0" quotePrefix="0" xfId="0">
      <alignment horizontal="general" vertical="bottom"/>
    </xf>
    <xf numFmtId="168" fontId="29" fillId="4" borderId="1" applyAlignment="1" pivotButton="0" quotePrefix="0" xfId="0">
      <alignment horizontal="general" vertical="bottom"/>
    </xf>
    <xf numFmtId="169" fontId="14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8" fontId="29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8" fontId="15" fillId="4" borderId="0" applyAlignment="1" pivotButton="0" quotePrefix="0" xfId="0">
      <alignment horizontal="general" vertical="bottom"/>
    </xf>
    <xf numFmtId="0" fontId="30" fillId="0" borderId="0" pivotButton="0" quotePrefix="0" xfId="0"/>
    <xf numFmtId="0" fontId="31" fillId="0" borderId="0" pivotButton="0" quotePrefix="0" xfId="0"/>
    <xf numFmtId="0" fontId="32" fillId="7" borderId="0" pivotButton="0" quotePrefix="0" xfId="0"/>
    <xf numFmtId="0" fontId="33" fillId="0" borderId="0" pivotButton="0" quotePrefix="0" xfId="0"/>
    <xf numFmtId="167" fontId="34" fillId="8" borderId="0" pivotButton="0" quotePrefix="0" xfId="0"/>
    <xf numFmtId="0" fontId="0" fillId="8" borderId="0" pivotButton="0" quotePrefix="0" xfId="0"/>
    <xf numFmtId="0" fontId="31" fillId="0" borderId="0" applyAlignment="1" pivotButton="0" quotePrefix="0" xfId="0">
      <alignment vertical="top" wrapText="1"/>
    </xf>
    <xf numFmtId="167" fontId="35" fillId="0" borderId="0" pivotButton="0" quotePrefix="0" xfId="0"/>
    <xf numFmtId="10" fontId="34" fillId="8" borderId="0" pivotButton="0" quotePrefix="0" xfId="0"/>
    <xf numFmtId="165" fontId="34" fillId="8" borderId="0" pivotButton="0" quotePrefix="0" xfId="0"/>
    <xf numFmtId="165" fontId="35" fillId="0" borderId="0" pivotButton="0" quotePrefix="0" xfId="0"/>
    <xf numFmtId="168" fontId="34" fillId="8" borderId="0" pivotButton="0" quotePrefix="0" xfId="0"/>
    <xf numFmtId="168" fontId="35" fillId="0" borderId="0" pivotButton="0" quotePrefix="0" xfId="0"/>
    <xf numFmtId="164" fontId="0" fillId="0" borderId="0" pivotButton="0" quotePrefix="0" xfId="0"/>
    <xf numFmtId="164" fontId="34" fillId="8" borderId="0" pivotButton="0" quotePrefix="0" xfId="0"/>
    <xf numFmtId="1" fontId="34" fillId="8" borderId="0" pivotButton="0" quotePrefix="0" xfId="0"/>
    <xf numFmtId="168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general" vertical="bottom"/>
    </xf>
    <xf numFmtId="167" fontId="18" fillId="0" borderId="1" applyAlignment="1" pivotButton="0" quotePrefix="0" xfId="0">
      <alignment horizontal="general" vertical="bottom"/>
    </xf>
    <xf numFmtId="164" fontId="18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168" fontId="14" fillId="0" borderId="1" applyAlignment="1" pivotButton="0" quotePrefix="0" xfId="0">
      <alignment horizontal="general" vertical="bottom"/>
    </xf>
    <xf numFmtId="168" fontId="19" fillId="0" borderId="1" applyAlignment="1" pivotButton="0" quotePrefix="0" xfId="0">
      <alignment horizontal="general" vertical="bottom"/>
    </xf>
    <xf numFmtId="167" fontId="14" fillId="0" borderId="1" applyAlignment="1" pivotButton="0" quotePrefix="0" xfId="0">
      <alignment horizontal="general" vertical="bottom"/>
    </xf>
    <xf numFmtId="168" fontId="18" fillId="0" borderId="1" applyAlignment="1" pivotButton="0" quotePrefix="0" xfId="0">
      <alignment horizontal="general" vertical="bottom"/>
    </xf>
    <xf numFmtId="169" fontId="18" fillId="0" borderId="1" applyAlignment="1" pivotButton="0" quotePrefix="0" xfId="0">
      <alignment horizontal="general" vertical="bottom"/>
    </xf>
    <xf numFmtId="168" fontId="20" fillId="5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1" fillId="6" borderId="0" applyAlignment="1" pivotButton="0" quotePrefix="0" xfId="0">
      <alignment horizontal="general" vertical="bottom" wrapText="1"/>
    </xf>
    <xf numFmtId="167" fontId="22" fillId="0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24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 wrapText="1"/>
    </xf>
    <xf numFmtId="9" fontId="15" fillId="4" borderId="0" applyAlignment="1" pivotButton="0" quotePrefix="0" xfId="0">
      <alignment horizontal="center" vertical="top"/>
    </xf>
    <xf numFmtId="0" fontId="15" fillId="4" borderId="0" applyAlignment="1" pivotButton="0" quotePrefix="0" xfId="0">
      <alignment horizontal="center" vertical="top"/>
    </xf>
    <xf numFmtId="0" fontId="23" fillId="4" borderId="0" applyAlignment="1" pivotButton="0" quotePrefix="0" xfId="0">
      <alignment horizontal="general" vertical="top" wrapText="1"/>
    </xf>
    <xf numFmtId="9" fontId="2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170" fontId="15" fillId="4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4" fontId="27" fillId="0" borderId="0" applyAlignment="1" pivotButton="0" quotePrefix="0" xfId="0">
      <alignment horizontal="general" vertical="bottom"/>
    </xf>
    <xf numFmtId="164" fontId="2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EFF6"/>
      <rgbColor rgb="FF660066"/>
      <rgbColor rgb="FFFF8080"/>
      <rgbColor rgb="FF035CA0"/>
      <rgbColor rgb="FFD5DB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B"/>
      <rgbColor rgb="FFCCFFCC"/>
      <rgbColor rgb="FFFFFF99"/>
      <rgbColor rgb="FF99CCFF"/>
      <rgbColor rgb="FFFF99CC"/>
      <rgbColor rgb="FFCC99FF"/>
      <rgbColor rgb="FFFFCC99"/>
      <rgbColor rgb="FF3366FF"/>
      <rgbColor rgb="FF2EAEE0"/>
      <rgbColor rgb="FF99CC00"/>
      <rgbColor rgb="FFFFCC00"/>
      <rgbColor rgb="FFFF9900"/>
      <rgbColor rgb="FFFF6600"/>
      <rgbColor rgb="FF6B7280"/>
      <rgbColor rgb="FF969696"/>
      <rgbColor rgb="FF202448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E5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7" min="1" max="1"/>
    <col width="30" customWidth="1" style="67" min="2" max="2"/>
    <col width="26" customWidth="1" style="67" min="3" max="3"/>
    <col width="62" customWidth="1" style="67" min="4" max="5"/>
  </cols>
  <sheetData>
    <row r="2" ht="24" customHeight="1" s="68">
      <c r="B2" s="69" t="inlineStr">
        <is>
          <t>02_sizing — how to fill it in (Assignment 2)</t>
        </is>
      </c>
    </row>
    <row r="4" ht="15" customHeight="1" s="68">
      <c r="B4" s="70" t="inlineStr">
        <is>
          <t>WHICH PROJECT IS THIS ABOUT?</t>
        </is>
      </c>
    </row>
    <row r="5" ht="48" customHeight="1" s="68">
      <c r="B5" s="71" t="inlineStr">
        <is>
          <t>Your team's own project: the customer-support agent your team chose for the course (one of the proposals P1–P8 in the project document, or your own idea). One sheet per team, committed as 02_sizing.xlsx in your Git repository. It is NOT about Paylio: Paylio is the fictional company of the in-class exercise; it only appears in column H of the Inputs tab, to show what a filled-in cell looks like.</t>
        </is>
      </c>
    </row>
    <row r="7" ht="15" customHeight="1" s="68">
      <c r="B7" s="70" t="inlineStr">
        <is>
          <t>WHAT THE SHEET ANSWERS</t>
        </is>
      </c>
    </row>
    <row r="8" ht="48" customHeight="1" s="68">
      <c r="B8" s="71" t="inlineStr">
        <is>
          <t>Is your agent worth building for the company? You get: the net value per year in three scenarios (pessimistic, base, optimistic), an expected value, the comparison with doing nothing and with another project the same team could do, a decision (go / no-go / conditional go), the one assumption that flips the decision, and a build / buy / orchestrate score. Your memo (02_investment_memo.md) explains these numbers in one page.</t>
        </is>
      </c>
    </row>
    <row r="10" ht="15" customHeight="1" s="68">
      <c r="B10" s="70" t="inlineStr">
        <is>
          <t>WHERE YOUR NUMBERS COME FROM</t>
        </is>
      </c>
    </row>
    <row r="11" ht="48" customHeight="1" s="68">
      <c r="B11" s="71" t="inlineStr">
        <is>
          <t>1) Your company's numbers are in your proposal (table at the bottom of this tab): treat them as measured — they are your company's logs. 2) Orders of magnitude from the Session 2 slides (a human ticket costs €5–15 all-in; an LLM conversation €0.02–0.20): analogy. 3) Everything else is your estimate: write guess, and say in the note how you would check it. Every yellow cell gets a source type and a note.</t>
        </is>
      </c>
    </row>
    <row r="13" ht="15" customHeight="1" s="68">
      <c r="B13" s="70" t="inlineStr">
        <is>
          <t>STEP BY STEP — about one hour, as a team. Type only in the yellow cells.</t>
        </is>
      </c>
    </row>
    <row r="14" ht="15" customHeight="1" s="68">
      <c r="B14" s="72" t="inlineStr">
        <is>
          <t>Step</t>
        </is>
      </c>
      <c r="C14" s="72" t="inlineStr">
        <is>
          <t>Where</t>
        </is>
      </c>
      <c r="D14" s="72" t="inlineStr">
        <is>
          <t>What to enter</t>
        </is>
      </c>
      <c r="E14" s="72" t="inlineStr">
        <is>
          <t>Tip</t>
        </is>
      </c>
    </row>
    <row r="15" ht="33.75" customHeight="1" s="68">
      <c r="B15" s="73" t="inlineStr">
        <is>
          <t>1 · Volume and human cost</t>
        </is>
      </c>
      <c r="C15" s="71" t="inlineStr">
        <is>
          <t>Inputs, rows 6–9</t>
        </is>
      </c>
      <c r="D15" s="71" t="inlineStr">
        <is>
          <t>Tickets per month; number of support agents; what ONE agent costs the company per year (all-in); the cost of one ticket handled by a human.</t>
        </is>
      </c>
      <c r="E15" s="71" t="inlineStr">
        <is>
          <t>From your proposal. Row 10 gives the agent time per ticket from headcount (Paylio: 60 × €45k ÷ 480,000 ≈ €5.6; €10 all-in with team leads, QA and tools); row 11 the tickets per agent per day.</t>
        </is>
      </c>
    </row>
    <row r="16" ht="60" customHeight="1" s="68">
      <c r="B16" s="74" t="inlineStr">
        <is>
          <t>2 · Your categories</t>
        </is>
      </c>
      <c r="C16" s="75" t="inlineStr">
        <is>
          <t>Inputs, A14:A16 and rows 14–16</t>
        </is>
      </c>
      <c r="D16" s="75" t="inlineStr">
        <is>
          <t>Rename the three categories of work your agent deals with — ticket types, requests, incidents, accounts (e.g. P4: refund requests, delivery questions, account issues) — and give each one's share of the volume.</t>
        </is>
      </c>
      <c r="E16" s="75" t="inlineStr">
        <is>
          <t>Fewer than three? Set Include = 0 (rows 34–36) for the unused ones.</t>
        </is>
      </c>
    </row>
    <row r="17" ht="33.75" customHeight="1" s="68">
      <c r="B17" s="73" t="inlineStr">
        <is>
          <t>3 · Automatable share</t>
        </is>
      </c>
      <c r="C17" s="71" t="inlineStr">
        <is>
          <t>Inputs, rows 18–20</t>
        </is>
      </c>
      <c r="D17" s="71" t="inlineStr">
        <is>
          <t>In each category, the share of tickets the agent could handle at all (answerable from the documentation, the policy, the data it can see).</t>
        </is>
      </c>
      <c r="E17" s="71" t="inlineStr">
        <is>
          <t>Guess from a sample of tickets — and say how you would check it.</t>
        </is>
      </c>
    </row>
    <row r="18" ht="33.75" customHeight="1" s="68">
      <c r="B18" s="74" t="inlineStr">
        <is>
          <t>4 · Deflection realised</t>
        </is>
      </c>
      <c r="C18" s="75" t="inlineStr">
        <is>
          <t>Inputs, rows 22–24</t>
        </is>
      </c>
      <c r="D18" s="75" t="inlineStr">
        <is>
          <t>Of those, the share actually resolved without a human once live.</t>
        </is>
      </c>
      <c r="E18" s="75" t="inlineStr">
        <is>
          <t>Usually THE assumption that flips the decision: mark it “guess → S4 test”.</t>
        </is>
      </c>
    </row>
    <row r="19" ht="45.75" customHeight="1" s="68">
      <c r="B19" s="73" t="inlineStr">
        <is>
          <t>5 · Errors and what they cost</t>
        </is>
      </c>
      <c r="C19" s="71" t="inlineStr">
        <is>
          <t>Inputs, rows 26–32</t>
        </is>
      </c>
      <c r="D19" s="71" t="inlineStr">
        <is>
          <t>The error rate per category, and the cost in € of one wrong answer (customer retries, refund leakage, penalty, churn, a legal case).</t>
        </is>
      </c>
      <c r="E19" s="71" t="inlineStr">
        <is>
          <t>The costly categories are where a human must stay — that is a scope decision (step 6).</t>
        </is>
      </c>
    </row>
    <row r="20" ht="30" customHeight="1" s="68">
      <c r="B20" s="74" t="inlineStr">
        <is>
          <t>6 · Scope</t>
        </is>
      </c>
      <c r="C20" s="75" t="inlineStr">
        <is>
          <t>Inputs, rows 34–36</t>
        </is>
      </c>
      <c r="D20" s="75" t="inlineStr">
        <is>
          <t>1 = the agent handles this category, 0 = it does not.</t>
        </is>
      </c>
      <c r="E20" s="75" t="inlineStr">
        <is>
          <t>Try 0 on the riskiest category and watch the decision.</t>
        </is>
      </c>
    </row>
    <row r="21" ht="33.75" customHeight="1" s="68">
      <c r="B21" s="73" t="inlineStr">
        <is>
          <t>7 · Adoption by quarter</t>
        </is>
      </c>
      <c r="C21" s="71" t="inlineStr">
        <is>
          <t>Inputs, rows 39–42</t>
        </is>
      </c>
      <c r="D21" s="71" t="inlineStr">
        <is>
          <t>The share of the deflectable volume actually handled in Q1, Q2, Q3, Q4.</t>
        </is>
      </c>
      <c r="E21" s="71" t="inlineStr">
        <is>
          <t>Never 100 % in Q1 — Octopus Energy went from a handful of emails to 34 %, then 45 %.</t>
        </is>
      </c>
    </row>
    <row r="22" ht="30" customHeight="1" s="68">
      <c r="B22" s="74" t="inlineStr">
        <is>
          <t>8 · AI cost</t>
        </is>
      </c>
      <c r="C22" s="75" t="inlineStr">
        <is>
          <t>Inputs, rows 45–46</t>
        </is>
      </c>
      <c r="D22" s="75" t="inlineStr">
        <is>
          <t>The AI cost per conversation (tokens × price) and the retry overhead.</t>
        </is>
      </c>
      <c r="E22" s="75" t="inlineStr">
        <is>
          <t>€0.02–0.20 per conversation; recheck token prices the day you fill it in.</t>
        </is>
      </c>
    </row>
    <row r="23" ht="33.75" customHeight="1" s="68">
      <c r="B23" s="73" t="inlineStr">
        <is>
          <t>9 · Fixed costs</t>
        </is>
      </c>
      <c r="C23" s="71" t="inlineStr">
        <is>
          <t>Inputs, rows 49–56</t>
        </is>
      </c>
      <c r="D23" s="71" t="inlineStr">
        <is>
          <t>Integration, evaluation, supervision (people in the loop, in FTE), monitoring and on-call, re-evaluation when the model changes.</t>
        </is>
      </c>
      <c r="E23" s="71" t="inlineStr">
        <is>
          <t>The human in the loop is a cost line, not free.</t>
        </is>
      </c>
    </row>
    <row r="24" ht="45.75" customHeight="1" s="68">
      <c r="B24" s="74" t="inlineStr">
        <is>
          <t>10 · The two comparisons</t>
        </is>
      </c>
      <c r="C24" s="75" t="inlineStr">
        <is>
          <t>Inputs, rows 59–60</t>
        </is>
      </c>
      <c r="D24" s="75" t="inlineStr">
        <is>
          <t>How much the current process improves each year on its own (do-nothing), and the yearly value of the next-best project the same team could do (name it in the note).</t>
        </is>
      </c>
      <c r="E24" s="75" t="inlineStr">
        <is>
          <t>The hurdle is another project, not zero.</t>
        </is>
      </c>
    </row>
    <row r="25" ht="30" customHeight="1" s="68">
      <c r="B25" s="73" t="inlineStr">
        <is>
          <t>11 · Probabilities</t>
        </is>
      </c>
      <c r="C25" s="71" t="inlineStr">
        <is>
          <t>Inputs, row 63</t>
        </is>
      </c>
      <c r="D25" s="71" t="inlineStr">
        <is>
          <t>How likely you find the pessimistic, base and optimistic scenarios.</t>
        </is>
      </c>
      <c r="E25" s="71" t="inlineStr">
        <is>
          <t>Must sum to 1 (row 64 checks it).</t>
        </is>
      </c>
    </row>
    <row r="26" ht="45.75" customHeight="1" s="68">
      <c r="B26" s="74" t="inlineStr">
        <is>
          <t>12 · Read the result</t>
        </is>
      </c>
      <c r="C26" s="75" t="inlineStr">
        <is>
          <t>Decision tab</t>
        </is>
      </c>
      <c r="D26" s="75" t="inlineStr">
        <is>
          <t>Net value per scenario, expected value, comparisons, the decision cell, and the sensitivity table: the deflection rate at which the decision flips.</t>
        </is>
      </c>
      <c r="E26" s="75" t="inlineStr">
        <is>
          <t>Do not type here. The flip point goes in the memo — your Session 4 prototype will measure it.</t>
        </is>
      </c>
    </row>
    <row r="27" ht="45.75" customHeight="1" s="68">
      <c r="B27" s="73" t="inlineStr">
        <is>
          <t>13 · Build, buy or orchestrate</t>
        </is>
      </c>
      <c r="C27" s="71" t="inlineStr">
        <is>
          <t>Build or buy tab</t>
        </is>
      </c>
      <c r="D27" s="71" t="inlineStr">
        <is>
          <t>Weights (sum 100 %) and a score from 1 to 5 for each option on the ten questions; the vendor's price per resolution for the break-even.</t>
        </is>
      </c>
      <c r="E27" s="71" t="inlineStr">
        <is>
          <t>The score informs the decision; the memo makes it.</t>
        </is>
      </c>
    </row>
    <row r="28" ht="30" customHeight="1" s="68">
      <c r="B28" s="74" t="inlineStr">
        <is>
          <t>14 · Write the memo</t>
        </is>
      </c>
      <c r="C28" s="75" t="inlineStr">
        <is>
          <t>02_investment_memo.md</t>
        </is>
      </c>
      <c r="D28" s="75" t="inlineStr">
        <is>
          <t>Recommendation on line one, the four CFO questions, one line on build / buy / orchestrate.</t>
        </is>
      </c>
      <c r="E28" s="75" t="inlineStr">
        <is>
          <t>Same base case as this sheet.</t>
        </is>
      </c>
    </row>
    <row r="30" ht="15" customHeight="1" s="68">
      <c r="B30" s="70" t="inlineStr">
        <is>
          <t>STARTING NUMBERS FROM THE PROJECT DOCUMENT</t>
        </is>
      </c>
    </row>
    <row r="31" ht="15" customHeight="1" s="68">
      <c r="B31" s="72" t="inlineStr">
        <is>
          <t>Proposal</t>
        </is>
      </c>
      <c r="C31" s="72" t="inlineStr">
        <is>
          <t>Company numbers</t>
        </is>
      </c>
      <c r="D31" s="72" t="inlineStr">
        <is>
          <t>The pain</t>
        </is>
      </c>
      <c r="E31" s="72" t="inlineStr">
        <is>
          <t>Kind of value</t>
        </is>
      </c>
    </row>
    <row r="32" ht="60" customHeight="1" s="68">
      <c r="B32" s="73" t="inlineStr">
        <is>
          <t>P1 · HR &amp; payroll SaaS</t>
        </is>
      </c>
      <c r="C32" s="71" t="inlineStr">
        <is>
          <t>2,500 customer companies · 40,000 tickets/month · 60 support agents</t>
        </is>
      </c>
      <c r="D32" s="71" t="inlineStr">
        <is>
          <t>55 % of tickets are “how do I…” questions already answered in the documentation; peaks at month end</t>
        </is>
      </c>
      <c r="E32" s="71" t="inlineStr">
        <is>
          <t>Work avoided</t>
        </is>
      </c>
    </row>
    <row r="33" ht="60" customHeight="1" s="68">
      <c r="B33" s="74" t="inlineStr">
        <is>
          <t>P2 · B2B payments fintech</t>
        </is>
      </c>
      <c r="C33" s="75" t="inlineStr">
        <is>
          <t>800 merchants · 12,000 tickets/month</t>
        </is>
      </c>
      <c r="D33" s="75" t="inlineStr">
        <is>
          <t>Agents spend 40 % of handling time reading transaction history and past tickets</t>
        </is>
      </c>
      <c r="E33" s="75" t="inlineStr">
        <is>
          <t>Time saved (copilot)</t>
        </is>
      </c>
    </row>
    <row r="34" ht="60" customHeight="1" s="68">
      <c r="B34" s="73" t="inlineStr">
        <is>
          <t>P3 · DevOps / observability</t>
        </is>
      </c>
      <c r="C34" s="71" t="inlineStr">
        <is>
          <t>5,000 accounts · tickets ×10 during incidents (normal volume not given: estimate it)</t>
        </is>
      </c>
      <c r="D34" s="71" t="inlineStr">
        <is>
          <t>During an outage, 70 % of tickets say the same thing</t>
        </is>
      </c>
      <c r="E34" s="71" t="inlineStr">
        <is>
          <t>Incident load — tickets per incident × incidents a year</t>
        </is>
      </c>
    </row>
    <row r="35" ht="60" customHeight="1" s="68">
      <c r="B35" s="74" t="inlineStr">
        <is>
          <t>P4 · E-commerce logistics</t>
        </is>
      </c>
      <c r="C35" s="75" t="inlineStr">
        <is>
          <t>15,000 merchants · 25,000 tickets/month</t>
        </is>
      </c>
      <c r="D35" s="75" t="inlineStr">
        <is>
          <t>30 % of tickets are label refunds; refunds under €20 cost more to process than they are worth</t>
        </is>
      </c>
      <c r="E35" s="75" t="inlineStr">
        <is>
          <t>Work avoided; the cost of error is refund leakage</t>
        </is>
      </c>
    </row>
    <row r="36" ht="60" customHeight="1" s="68">
      <c r="B36" s="73" t="inlineStr">
        <is>
          <t>P5 · Ed-tech LMS</t>
        </is>
      </c>
      <c r="C36" s="71" t="inlineStr">
        <is>
          <t>14 countries · 6 languages · 20 agents (volume not given: estimate it)</t>
        </is>
      </c>
      <c r="D36" s="71" t="inlineStr">
        <is>
          <t>Tickets in Portuguese, Polish, Arabic wait 2–3× longer</t>
        </is>
      </c>
      <c r="E36" s="71" t="inlineStr">
        <is>
          <t>Work avoided — use the categories for languages</t>
        </is>
      </c>
    </row>
    <row r="37" ht="60" customHeight="1" s="68">
      <c r="B37" s="74" t="inlineStr">
        <is>
          <t>P6 · Project-management SaaS</t>
        </is>
      </c>
      <c r="C37" s="75" t="inlineStr">
        <is>
          <t>30,000 SMB accounts · 9,000 tickets/month · 8 % annual churn</t>
        </is>
      </c>
      <c r="D37" s="75" t="inlineStr">
        <is>
          <t>Churn signals visible in support weeks before cancellation</t>
        </is>
      </c>
      <c r="E37" s="75" t="inlineStr">
        <is>
          <t>Work avoided + revenue retained (Other value)</t>
        </is>
      </c>
    </row>
    <row r="38" ht="60" customHeight="1" s="68">
      <c r="B38" s="73" t="inlineStr">
        <is>
          <t>P7 · Cybersecurity SaaS</t>
        </is>
      </c>
      <c r="C38" s="71" t="inlineStr">
        <is>
          <t>400 enterprise accounts · 6,000 tickets/month · 25 engineers · SLA P1 = 1 h, P2 = 4 h</t>
        </is>
      </c>
      <c r="D38" s="71" t="inlineStr">
        <is>
          <t>Misprioritised tickets cause SLA breaches and penalties</t>
        </is>
      </c>
      <c r="E38" s="71" t="inlineStr">
        <is>
          <t>Time saved + penalties avoided (Other value)</t>
        </is>
      </c>
    </row>
    <row r="39" ht="60" customHeight="1" s="68">
      <c r="B39" s="74" t="inlineStr">
        <is>
          <t>P8 · Hospitality-tech</t>
        </is>
      </c>
      <c r="C39" s="75" t="inlineStr">
        <is>
          <t>3,000 hotels (volume not given: estimate it) · reviews.csv for real data</t>
        </is>
      </c>
      <c r="D39" s="75" t="inlineStr">
        <is>
          <t>20 % of tickets are analysis requests; answer today in 4 days</t>
        </is>
      </c>
      <c r="E39" s="75" t="inlineStr">
        <is>
          <t>Time saved — analysis requests answered faster</t>
        </is>
      </c>
    </row>
    <row r="40" ht="60" customHeight="1" s="68">
      <c r="B40" s="73" t="inlineStr">
        <is>
          <t>Own project</t>
        </is>
      </c>
      <c r="C40" s="71" t="inlineStr">
        <is>
          <t>The numbers of your 00_pitch.md</t>
        </is>
      </c>
      <c r="D40" s="71" t="inlineStr">
        <is>
          <t>Your pain, expressed as a cost</t>
        </is>
      </c>
      <c r="E40" s="71" t="inlineStr">
        <is>
          <t>Pick the kind of value below; invent plausible numbers and label them</t>
        </is>
      </c>
    </row>
    <row r="42" ht="15" customHeight="1" s="68">
      <c r="B42" s="70" t="inlineStr">
        <is>
          <t>NOT ONLY TICKETS — OTHER KINDS OF VALUE, WITH WORKED EXAMPLES</t>
        </is>
      </c>
    </row>
    <row r="43" ht="33.75" customHeight="1" s="68">
      <c r="B43" s="71" t="inlineStr">
        <is>
          <t>Every agent is sized the same way: volume × share in scope × success rate × value per success − AI cost − cost of errors − fixed costs. Only the unit and the value change. Pick the line that matches your agent (you can combine two). Numbers below are illustrative — replace them with yours.</t>
        </is>
      </c>
    </row>
    <row r="44" ht="15" customHeight="1" s="68">
      <c r="B44" s="72" t="inlineStr">
        <is>
          <t>Kind of value</t>
        </is>
      </c>
      <c r="C44" s="72" t="inlineStr">
        <is>
          <t>Typical for</t>
        </is>
      </c>
      <c r="D44" s="72" t="inlineStr">
        <is>
          <t>What goes where in the sheet</t>
        </is>
      </c>
      <c r="E44" s="72" t="inlineStr">
        <is>
          <t>Illustrative example</t>
        </is>
      </c>
    </row>
    <row r="45" ht="48" customHeight="1" s="68">
      <c r="B45" s="73" t="inlineStr">
        <is>
          <t>Work avoided (deflection)</t>
        </is>
      </c>
      <c r="C45" s="71" t="inlineStr">
        <is>
          <t>P1, P4, P5</t>
        </is>
      </c>
      <c r="D45" s="71" t="inlineStr">
        <is>
          <t>Volume = tickets · success rate = deflection · value per unit = human cost of one ticket.</t>
        </is>
      </c>
      <c r="E45" s="71" t="inlineStr">
        <is>
          <t>P1: 40,000 tickets × 55 % “how do I” × 68 % automatable × your deflection rate (say 50 %) × €10 ≈ €75k a month at full adoption.</t>
        </is>
      </c>
    </row>
    <row r="46" ht="48" customHeight="1" s="68">
      <c r="B46" s="74" t="inlineStr">
        <is>
          <t>Time saved (copilot)</t>
        </is>
      </c>
      <c r="C46" s="75" t="inlineStr">
        <is>
          <t>P2, P7 (triage), P8</t>
        </is>
      </c>
      <c r="D46" s="75" t="inlineStr">
        <is>
          <t>Volume = tickets or requests the agent helps with · success rate = share of handling time saved · value per unit = human cost of one.</t>
        </is>
      </c>
      <c r="E46" s="75" t="inlineStr">
        <is>
          <t>P2: 12,000 tickets × 100 % with the copilot × 20 % of time saved × €10 ≈ €24k a month.</t>
        </is>
      </c>
    </row>
    <row r="47" ht="48" customHeight="1" s="68">
      <c r="B47" s="73" t="inlineStr">
        <is>
          <t>Revenue retained</t>
        </is>
      </c>
      <c r="C47" s="71" t="inlineStr">
        <is>
          <t>P6</t>
        </is>
      </c>
      <c r="D47" s="71" t="inlineStr">
        <is>
          <t>Use an Other value row (67–68): accounts at risk that reach support × share saved × yearly revenue per account.</t>
        </is>
      </c>
      <c r="E47" s="71" t="inlineStr">
        <is>
          <t>P6: 30,000 accounts × 8 % churn = 2,400 lost a year; half open a ticket first; 10 % saved = 120 × €1,200 ≈ €144k a year.</t>
        </is>
      </c>
    </row>
    <row r="48" ht="48" customHeight="1" s="68">
      <c r="B48" s="74" t="inlineStr">
        <is>
          <t>Penalties avoided</t>
        </is>
      </c>
      <c r="C48" s="75" t="inlineStr">
        <is>
          <t>P7</t>
        </is>
      </c>
      <c r="D48" s="75" t="inlineStr">
        <is>
          <t>Use an Other value row: breaches a year × share avoided × penalty per breach (from the contracts).</t>
        </is>
      </c>
      <c r="E48" s="75" t="inlineStr">
        <is>
          <t>P7: 240 SLA breaches a year × 30 % avoided × €2,000 ≈ €144k a year.</t>
        </is>
      </c>
    </row>
    <row r="49" ht="48" customHeight="1" s="68">
      <c r="B49" s="73" t="inlineStr">
        <is>
          <t>Faster answers, incident load</t>
        </is>
      </c>
      <c r="C49" s="71" t="inlineStr">
        <is>
          <t>P3, P8</t>
        </is>
      </c>
      <c r="D49" s="71" t="inlineStr">
        <is>
          <t>Volume = requests or incident tickets (incidents a year × tickets per incident ÷ 12) · value = agent time per ticket; the speed gain goes in the memo.</t>
        </is>
      </c>
      <c r="E49" s="71" t="inlineStr">
        <is>
          <t>P3: 20 incidents a year × 1,500 tickets each ÷ 12 = 2,500 tickets a month.</t>
        </is>
      </c>
    </row>
    <row r="51" ht="15" customHeight="1" s="68">
      <c r="B51" s="76" t="inlineStr">
        <is>
          <t>Data &amp; AI Product: From Diagnosis to Delivery · Albert School MSA-DAT07-04 · Assignment 2 · BleuAI</t>
        </is>
      </c>
    </row>
  </sheetData>
  <mergeCells count="12">
    <mergeCell ref="B8:E8"/>
    <mergeCell ref="B4:E4"/>
    <mergeCell ref="B43:E43"/>
    <mergeCell ref="B13:E13"/>
    <mergeCell ref="B30:E30"/>
    <mergeCell ref="B7:E7"/>
    <mergeCell ref="B11:E11"/>
    <mergeCell ref="B5:E5"/>
    <mergeCell ref="B2:E2"/>
    <mergeCell ref="B51:E51"/>
    <mergeCell ref="B10:E10"/>
    <mergeCell ref="B42:E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67" min="1" max="1"/>
    <col width="12" customWidth="1" style="67" min="2" max="2"/>
    <col width="13" customWidth="1" style="67" min="3" max="5"/>
    <col width="16" customWidth="1" style="67" min="6" max="6"/>
    <col width="70" customWidth="1" style="67" min="7" max="7"/>
    <col width="22" customWidth="1" style="67" min="8" max="8"/>
  </cols>
  <sheetData>
    <row r="1" ht="17.25" customHeight="1" s="68">
      <c r="A1" s="77" t="inlineStr">
        <is>
          <t>02_sizing — your agent · Inputs</t>
        </is>
      </c>
    </row>
    <row r="2" ht="30" customHeight="1" s="68">
      <c r="A2" s="78" t="inlineStr">
        <is>
          <t>Keelpay copilot (routing + drafting) - sizing built bottom-up from the frozen brief in the README. 'Low' = pessimistic, 'High' = optimistic. Yellow = input; green font = link to the Flow tab, where time saved, error and AI costs are derived. Time-saved kind of value: the 'success rate' is the share of handling time saved, applied to every ticket the copilot handles.</t>
        </is>
      </c>
    </row>
    <row r="4" ht="27.75" customHeight="1" s="68">
      <c r="A4" s="79" t="inlineStr">
        <is>
          <t>Parameter</t>
        </is>
      </c>
      <c r="B4" s="79" t="inlineStr">
        <is>
          <t>Unit</t>
        </is>
      </c>
      <c r="C4" s="79" t="inlineStr">
        <is>
          <t>Low (pessimistic)</t>
        </is>
      </c>
      <c r="D4" s="79" t="inlineStr">
        <is>
          <t>Base</t>
        </is>
      </c>
      <c r="E4" s="79" t="inlineStr">
        <is>
          <t>High (optimistic)</t>
        </is>
      </c>
      <c r="F4" s="79" t="inlineStr">
        <is>
          <t>Source type</t>
        </is>
      </c>
      <c r="G4" s="79" t="inlineStr">
        <is>
          <t>Note / where the number comes from</t>
        </is>
      </c>
      <c r="H4" s="80" t="n"/>
    </row>
    <row r="5" ht="15" customHeight="1" s="68">
      <c r="A5" s="81" t="inlineStr">
        <is>
          <t>VOLUME AND HUMAN COST</t>
        </is>
      </c>
    </row>
    <row r="6" ht="15" customHeight="1" s="68">
      <c r="A6" s="82" t="inlineStr">
        <is>
          <t>Volume per month (tickets, requests, conversations…)</t>
        </is>
      </c>
      <c r="B6" s="82" t="inlineStr">
        <is>
          <t>tickets</t>
        </is>
      </c>
      <c r="C6" s="83" t="n">
        <v>20000</v>
      </c>
      <c r="D6" s="83" t="n">
        <v>20500</v>
      </c>
      <c r="E6" s="83" t="n">
        <v>21000</v>
      </c>
      <c r="F6" s="84" t="inlineStr">
        <is>
          <t>given</t>
        </is>
      </c>
      <c r="G6" s="85" t="inlineStr">
        <is>
          <t>Scenario data (README): ~20,000 tickets a month today. Base and High add the average year-1 effect of merchant growth (about +5% / +10% by year end); the do-nothing text in 01 says volume grows.</t>
        </is>
      </c>
      <c r="H6" s="86" t="n"/>
    </row>
    <row r="7" ht="15" customHeight="1" s="68">
      <c r="A7" s="82" t="inlineStr">
        <is>
          <t>Tier-1 support agents (headcount)</t>
        </is>
      </c>
      <c r="B7" s="82" t="inlineStr">
        <is>
          <t>people</t>
        </is>
      </c>
      <c r="C7" s="83" t="n">
        <v>25</v>
      </c>
      <c r="D7" s="83" t="n">
        <v>25</v>
      </c>
      <c r="E7" s="83" t="n">
        <v>25</v>
      </c>
      <c r="F7" s="84" t="inlineStr">
        <is>
          <t>guess</t>
        </is>
      </c>
      <c r="G7" s="85" t="inlineStr">
        <is>
          <t>20,000 tickets x ~10 min hands-on / ~130 productive hours per agent. Test: headcount and timesheets of a real support team.</t>
        </is>
      </c>
      <c r="H7" s="86" t="n"/>
    </row>
    <row r="8" ht="21.75" customHeight="1" s="68">
      <c r="A8" s="82" t="inlineStr">
        <is>
          <t>Cost of ONE agent to the company per year (all-in)</t>
        </is>
      </c>
      <c r="B8" s="82" t="inlineStr">
        <is>
          <t>€ / year</t>
        </is>
      </c>
      <c r="C8" s="83" t="n">
        <v>50000</v>
      </c>
      <c r="D8" s="83" t="n">
        <v>50000</v>
      </c>
      <c r="E8" s="83" t="n">
        <v>50000</v>
      </c>
      <c r="F8" s="84" t="inlineStr">
        <is>
          <t>guess</t>
        </is>
      </c>
      <c r="G8" s="85" t="inlineStr">
        <is>
          <t>All-in yearly cost of a customer adviser in France. Analogy to check: job postings (France Travail, Michael Page) plus employer charges. Source it on the day.</t>
        </is>
      </c>
      <c r="H8" s="86" t="n"/>
    </row>
    <row r="9" ht="21.75" customHeight="1" s="68">
      <c r="A9" s="87" t="inlineStr">
        <is>
          <t>Cost of ONE unit handled by a human (ticket, request…)</t>
        </is>
      </c>
      <c r="B9" s="82" t="inlineStr">
        <is>
          <t>€ / ticket</t>
        </is>
      </c>
      <c r="C9" s="88" t="n">
        <v>6</v>
      </c>
      <c r="D9" s="88" t="n">
        <v>7</v>
      </c>
      <c r="E9" s="88" t="n">
        <v>8</v>
      </c>
      <c r="F9" s="84" t="inlineStr">
        <is>
          <t>analogy</t>
        </is>
      </c>
      <c r="G9" s="85" t="inlineStr">
        <is>
          <t>Course order of magnitude: a human ticket costs EUR 5-15 all-in (S2 slides). Base 7 = agent time (row 10, ~5.2) x ~1.35 for the part of team leads, QA and tools that scales with agent time.</t>
        </is>
      </c>
      <c r="H9" s="89" t="n"/>
    </row>
    <row r="10" ht="15" customHeight="1" s="68">
      <c r="A10" s="82" t="inlineStr">
        <is>
          <t>Check — cost per ticket from headcount, base = agents × cost per agent ÷ tickets per year</t>
        </is>
      </c>
      <c r="B10" s="67" t="inlineStr">
        <is>
          <t>€ / ticket</t>
        </is>
      </c>
      <c r="C10" s="90" t="n"/>
      <c r="D10" s="90">
        <f>IFERROR(D7*D8/(D6*12),"")</f>
        <v/>
      </c>
      <c r="E10" s="90" t="n"/>
      <c r="G10" s="91" t="inlineStr">
        <is>
          <t>Formula, not an input: agents × cost per agent ÷ (volume × 12) = the agent time per unit. Row 9 should be equal or higher (Paylio: €5.6 of agent time, €10 all-in).</t>
        </is>
      </c>
    </row>
    <row r="11" ht="15" customHeight="1" s="68">
      <c r="A11" s="82" t="inlineStr">
        <is>
          <t>Check — tickets per agent per working day, base (21 working days a month)</t>
        </is>
      </c>
      <c r="B11" s="67" t="inlineStr">
        <is>
          <t>tickets</t>
        </is>
      </c>
      <c r="D11" s="92">
        <f>IFERROR(D6/D7/21,"")</f>
        <v/>
      </c>
      <c r="G11" s="91" t="inlineStr">
        <is>
          <t>Formula, not an input: volume ÷ agents ÷ 21 — a sanity check (Paylio ≈ 32 tickets a day).</t>
        </is>
      </c>
    </row>
    <row r="12" ht="15" customHeight="1" s="68">
      <c r="A12" s="81" t="inlineStr">
        <is>
          <t>TICKET CATEGORIES</t>
        </is>
      </c>
    </row>
    <row r="13" ht="15" customHeight="1" s="68">
      <c r="A13" s="87" t="inlineStr">
        <is>
          <t>Share of the volume by category (rename the three categories in A14:A16 — the other blocks follow)</t>
        </is>
      </c>
    </row>
    <row r="14" ht="15" customHeight="1" s="68">
      <c r="A14" s="93" t="inlineStr">
        <is>
          <t xml:space="preserve">   Payment status and payouts</t>
        </is>
      </c>
      <c r="B14" s="82" t="inlineStr">
        <is>
          <t>share</t>
        </is>
      </c>
      <c r="C14" s="94" t="n">
        <v>0.45</v>
      </c>
      <c r="D14" s="94" t="n">
        <v>0.45</v>
      </c>
      <c r="E14" s="94" t="n">
        <v>0.45</v>
      </c>
      <c r="F14" s="84" t="inlineStr">
        <is>
          <t>guess</t>
        </is>
      </c>
      <c r="G14" s="85" t="inlineStr">
        <is>
          <t>Share of tickets by type. Test: category tags in the helpdesk over three months.</t>
        </is>
      </c>
      <c r="H14" s="95" t="n"/>
    </row>
    <row r="15" ht="15" customHeight="1" s="68">
      <c r="A15" s="93" t="inlineStr">
        <is>
          <t xml:space="preserve">   Disputes and chargebacks</t>
        </is>
      </c>
      <c r="B15" s="82" t="inlineStr">
        <is>
          <t>share</t>
        </is>
      </c>
      <c r="C15" s="94" t="n">
        <v>0.2</v>
      </c>
      <c r="D15" s="94" t="n">
        <v>0.2</v>
      </c>
      <c r="E15" s="94" t="n">
        <v>0.2</v>
      </c>
      <c r="F15" s="84" t="inlineStr">
        <is>
          <t>guess</t>
        </is>
      </c>
      <c r="G15" s="85" t="inlineStr">
        <is>
          <t>Same test. Disputes are the costly category (deadlines).</t>
        </is>
      </c>
      <c r="H15" s="95" t="n"/>
    </row>
    <row r="16" ht="15" customHeight="1" s="68">
      <c r="A16" s="93" t="inlineStr">
        <is>
          <t xml:space="preserve">   Technical / API and compliance</t>
        </is>
      </c>
      <c r="B16" s="82" t="inlineStr">
        <is>
          <t>share</t>
        </is>
      </c>
      <c r="C16" s="94" t="n">
        <v>0.35</v>
      </c>
      <c r="D16" s="94" t="n">
        <v>0.35</v>
      </c>
      <c r="E16" s="94" t="n">
        <v>0.35</v>
      </c>
      <c r="F16" s="84" t="inlineStr">
        <is>
          <t>guess</t>
        </is>
      </c>
      <c r="G16" s="85" t="inlineStr">
        <is>
          <t>Same test.</t>
        </is>
      </c>
      <c r="H16" s="95" t="n"/>
    </row>
    <row r="17" ht="15" customHeight="1" s="68">
      <c r="A17" s="87" t="inlineStr">
        <is>
          <t>Automatable share (answerable from documentation)</t>
        </is>
      </c>
    </row>
    <row r="18" ht="15" customHeight="1" s="68">
      <c r="A18" s="82">
        <f>"   "&amp;TRIM($A$14)</f>
        <v/>
      </c>
      <c r="B18" s="82" t="inlineStr">
        <is>
          <t>share</t>
        </is>
      </c>
      <c r="C18" s="94" t="n">
        <v>1</v>
      </c>
      <c r="D18" s="94" t="n">
        <v>1</v>
      </c>
      <c r="E18" s="94" t="n">
        <v>1</v>
      </c>
      <c r="F18" s="84" t="inlineStr">
        <is>
          <t>decision</t>
        </is>
      </c>
      <c r="G18" s="85" t="inlineStr">
        <is>
          <t>The copilot reads and routes every ticket, so every ticket is in the base for time saved.</t>
        </is>
      </c>
      <c r="H18" s="95" t="n"/>
    </row>
    <row r="19" ht="15" customHeight="1" s="68">
      <c r="A19" s="82">
        <f>"   "&amp;TRIM($A$15)</f>
        <v/>
      </c>
      <c r="B19" s="82" t="inlineStr">
        <is>
          <t>share</t>
        </is>
      </c>
      <c r="C19" s="94" t="n">
        <v>1</v>
      </c>
      <c r="D19" s="94" t="n">
        <v>1</v>
      </c>
      <c r="E19" s="94" t="n">
        <v>1</v>
      </c>
      <c r="F19" s="84" t="inlineStr">
        <is>
          <t>decision</t>
        </is>
      </c>
      <c r="G19" s="85" t="inlineStr">
        <is>
          <t>The copilot reads and routes every ticket, so every ticket is in the base for time saved.</t>
        </is>
      </c>
      <c r="H19" s="95" t="n"/>
    </row>
    <row r="20" ht="15" customHeight="1" s="68">
      <c r="A20" s="82">
        <f>"   "&amp;TRIM($A$16)</f>
        <v/>
      </c>
      <c r="B20" s="82" t="inlineStr">
        <is>
          <t>share</t>
        </is>
      </c>
      <c r="C20" s="94" t="n">
        <v>1</v>
      </c>
      <c r="D20" s="94" t="n">
        <v>1</v>
      </c>
      <c r="E20" s="94" t="n">
        <v>1</v>
      </c>
      <c r="F20" s="84" t="inlineStr">
        <is>
          <t>decision</t>
        </is>
      </c>
      <c r="G20" s="85" t="inlineStr">
        <is>
          <t>The copilot reads and routes every ticket, so every ticket is in the base for time saved.</t>
        </is>
      </c>
      <c r="H20" s="95" t="n"/>
    </row>
    <row r="21" ht="15" customHeight="1" s="68">
      <c r="A21" s="87" t="inlineStr">
        <is>
          <t>Success rate on the automatable share (deflection — or share of time saved, see the guide)</t>
        </is>
      </c>
    </row>
    <row r="22" ht="15" customHeight="1" s="68">
      <c r="A22" s="87">
        <f>"   "&amp;TRIM($A$14)</f>
        <v/>
      </c>
      <c r="B22" s="82" t="inlineStr">
        <is>
          <t>share</t>
        </is>
      </c>
      <c r="C22" s="96">
        <f>Flow!C15</f>
        <v/>
      </c>
      <c r="D22" s="96">
        <f>Flow!D15</f>
        <v/>
      </c>
      <c r="E22" s="96">
        <f>Flow!E15</f>
        <v/>
      </c>
      <c r="F22" s="84" t="inlineStr">
        <is>
          <t>guess</t>
        </is>
      </c>
      <c r="G22" s="85" t="inlineStr">
        <is>
          <t>Share of handling time saved = routing slice + drafting slice, derived on the Flow tab. THE assumption that flips the decision: test on the S4 prototype and the S6 A/B.</t>
        </is>
      </c>
      <c r="H22" s="95" t="n"/>
    </row>
    <row r="23" ht="15" customHeight="1" s="68">
      <c r="A23" s="87">
        <f>"   "&amp;TRIM($A$15)</f>
        <v/>
      </c>
      <c r="B23" s="82" t="inlineStr">
        <is>
          <t>share</t>
        </is>
      </c>
      <c r="C23" s="96">
        <f>Flow!C15</f>
        <v/>
      </c>
      <c r="D23" s="96">
        <f>Flow!D15</f>
        <v/>
      </c>
      <c r="E23" s="96">
        <f>Flow!E15</f>
        <v/>
      </c>
      <c r="F23" s="84" t="inlineStr">
        <is>
          <t>guess</t>
        </is>
      </c>
      <c r="G23" s="85" t="inlineStr">
        <is>
          <t>Share of handling time saved = routing slice + drafting slice, derived on the Flow tab. THE assumption that flips the decision: test on the S4 prototype and the S6 A/B.</t>
        </is>
      </c>
      <c r="H23" s="95" t="n"/>
    </row>
    <row r="24" ht="15" customHeight="1" s="68">
      <c r="A24" s="87">
        <f>"   "&amp;TRIM($A$16)</f>
        <v/>
      </c>
      <c r="B24" s="82" t="inlineStr">
        <is>
          <t>share</t>
        </is>
      </c>
      <c r="C24" s="96">
        <f>Flow!C15</f>
        <v/>
      </c>
      <c r="D24" s="96">
        <f>Flow!D15</f>
        <v/>
      </c>
      <c r="E24" s="96">
        <f>Flow!E15</f>
        <v/>
      </c>
      <c r="F24" s="84" t="inlineStr">
        <is>
          <t>guess</t>
        </is>
      </c>
      <c r="G24" s="85" t="inlineStr">
        <is>
          <t>Share of handling time saved = routing slice + drafting slice, derived on the Flow tab. THE assumption that flips the decision: test on the S4 prototype and the S6 A/B.</t>
        </is>
      </c>
      <c r="H24" s="95" t="n"/>
    </row>
    <row r="25" ht="15" customHeight="1" s="68">
      <c r="A25" s="87" t="inlineStr">
        <is>
          <t>Error rate — share of AI answers that are wrong</t>
        </is>
      </c>
    </row>
    <row r="26" ht="15" customHeight="1" s="68">
      <c r="A26" s="82">
        <f>"   "&amp;TRIM($A$14)</f>
        <v/>
      </c>
      <c r="B26" s="82" t="inlineStr">
        <is>
          <t>share</t>
        </is>
      </c>
      <c r="C26" s="97">
        <f>Flow!C19/Flow!C15</f>
        <v/>
      </c>
      <c r="D26" s="97">
        <f>Flow!D19/Flow!D15</f>
        <v/>
      </c>
      <c r="E26" s="97">
        <f>Flow!E19/Flow!E15</f>
        <v/>
      </c>
      <c r="F26" s="84" t="inlineStr">
        <is>
          <t>guess</t>
        </is>
      </c>
      <c r="G26" s="85" t="inlineStr">
        <is>
          <t>Uncaught serious errors per ticket handled (Flow tab) divided by the share of time saved, because the template applies error cost to time-saved-equivalent tickets.</t>
        </is>
      </c>
      <c r="H26" s="95" t="n"/>
    </row>
    <row r="27" ht="15" customHeight="1" s="68">
      <c r="A27" s="82">
        <f>"   "&amp;TRIM($A$15)</f>
        <v/>
      </c>
      <c r="B27" s="82" t="inlineStr">
        <is>
          <t>share</t>
        </is>
      </c>
      <c r="C27" s="97">
        <f>Flow!C20/Flow!C15</f>
        <v/>
      </c>
      <c r="D27" s="97">
        <f>Flow!D20/Flow!D15</f>
        <v/>
      </c>
      <c r="E27" s="97">
        <f>Flow!E20/Flow!E15</f>
        <v/>
      </c>
      <c r="F27" s="84" t="inlineStr">
        <is>
          <t>guess</t>
        </is>
      </c>
      <c r="G27" s="85" t="inlineStr">
        <is>
          <t>Uncaught serious errors per ticket handled (Flow tab) divided by the share of time saved, because the template applies error cost to time-saved-equivalent tickets.</t>
        </is>
      </c>
      <c r="H27" s="95" t="n"/>
    </row>
    <row r="28" ht="15" customHeight="1" s="68">
      <c r="A28" s="82">
        <f>"   "&amp;TRIM($A$16)</f>
        <v/>
      </c>
      <c r="B28" s="82" t="inlineStr">
        <is>
          <t>share</t>
        </is>
      </c>
      <c r="C28" s="97">
        <f>Flow!C21/Flow!C15</f>
        <v/>
      </c>
      <c r="D28" s="97">
        <f>Flow!D21/Flow!D15</f>
        <v/>
      </c>
      <c r="E28" s="97">
        <f>Flow!E21/Flow!E15</f>
        <v/>
      </c>
      <c r="F28" s="84" t="inlineStr">
        <is>
          <t>guess</t>
        </is>
      </c>
      <c r="G28" s="85" t="inlineStr">
        <is>
          <t>Uncaught serious errors per ticket handled (Flow tab) divided by the share of time saved, because the template applies error cost to time-saved-equivalent tickets.</t>
        </is>
      </c>
      <c r="H28" s="95" t="n"/>
    </row>
    <row r="29" ht="15" customHeight="1" s="68">
      <c r="A29" s="87" t="inlineStr">
        <is>
          <t>Cost of one wrong answer</t>
        </is>
      </c>
    </row>
    <row r="30" ht="21.75" customHeight="1" s="68">
      <c r="A30" s="87">
        <f>"   "&amp;TRIM($A$14)</f>
        <v/>
      </c>
      <c r="B30" s="82" t="inlineStr">
        <is>
          <t>€ / error</t>
        </is>
      </c>
      <c r="C30" s="98" t="n">
        <v>200</v>
      </c>
      <c r="D30" s="98" t="n">
        <v>150</v>
      </c>
      <c r="E30" s="98" t="n">
        <v>120</v>
      </c>
      <c r="F30" s="84" t="inlineStr">
        <is>
          <t>guess</t>
        </is>
      </c>
      <c r="G30" s="85" t="inlineStr">
        <is>
          <t>Wrong payment reply or ticket stuck in the wrong desk: extra contacts, goodwill credit, churn tail. Pessimistic is higher.</t>
        </is>
      </c>
      <c r="H30" s="99" t="n"/>
    </row>
    <row r="31" ht="21.75" customHeight="1" s="68">
      <c r="A31" s="87">
        <f>"   "&amp;TRIM($A$15)</f>
        <v/>
      </c>
      <c r="B31" s="82" t="inlineStr">
        <is>
          <t>€ / error</t>
        </is>
      </c>
      <c r="C31" s="98" t="n">
        <v>600</v>
      </c>
      <c r="D31" s="98" t="n">
        <v>400</v>
      </c>
      <c r="E31" s="98" t="n">
        <v>300</v>
      </c>
      <c r="F31" s="84" t="inlineStr">
        <is>
          <t>guess</t>
        </is>
      </c>
      <c r="G31" s="85" t="inlineStr">
        <is>
          <t>Missed chargeback deadline or wrong amount told: chargeback fees (analogy: Mastercard 2025, $128 per chargeback) plus lost dispute plus complaint risk.</t>
        </is>
      </c>
      <c r="H31" s="99" t="n"/>
    </row>
    <row r="32" ht="21.75" customHeight="1" s="68">
      <c r="A32" s="87">
        <f>"   "&amp;TRIM($A$16)</f>
        <v/>
      </c>
      <c r="B32" s="82" t="inlineStr">
        <is>
          <t>€ / error</t>
        </is>
      </c>
      <c r="C32" s="98" t="n">
        <v>450</v>
      </c>
      <c r="D32" s="98" t="n">
        <v>300</v>
      </c>
      <c r="E32" s="98" t="n">
        <v>250</v>
      </c>
      <c r="F32" s="84" t="inlineStr">
        <is>
          <t>guess</t>
        </is>
      </c>
      <c r="G32" s="85" t="inlineStr">
        <is>
          <t>Missed compliance hold or API incident handled late: regulatory exposure, merchant churn. Legal/reputational line (see governance).</t>
        </is>
      </c>
      <c r="H32" s="99" t="n"/>
    </row>
    <row r="33" ht="15" customHeight="1" s="68">
      <c r="A33" s="87" t="inlineStr">
        <is>
          <t>Include category in scope? (1 = yes, 0 = no)</t>
        </is>
      </c>
    </row>
    <row r="34" ht="15" customHeight="1" s="68">
      <c r="A34" s="82">
        <f>"   "&amp;TRIM($A$14)</f>
        <v/>
      </c>
      <c r="B34" s="82" t="inlineStr">
        <is>
          <t>1/0</t>
        </is>
      </c>
      <c r="C34" s="83" t="n">
        <v>1</v>
      </c>
      <c r="D34" s="83" t="n">
        <v>1</v>
      </c>
      <c r="E34" s="83" t="n">
        <v>1</v>
      </c>
      <c r="F34" s="84" t="inlineStr">
        <is>
          <t>decision</t>
        </is>
      </c>
      <c r="G34" s="85" t="inlineStr">
        <is>
          <t>Scope decision. Try 0 on disputes and watch the decision.</t>
        </is>
      </c>
      <c r="H34" s="86" t="n"/>
    </row>
    <row r="35" ht="15" customHeight="1" s="68">
      <c r="A35" s="82">
        <f>"   "&amp;TRIM($A$15)</f>
        <v/>
      </c>
      <c r="B35" s="82" t="inlineStr">
        <is>
          <t>1/0</t>
        </is>
      </c>
      <c r="C35" s="83" t="n">
        <v>1</v>
      </c>
      <c r="D35" s="83" t="n">
        <v>1</v>
      </c>
      <c r="E35" s="83" t="n">
        <v>1</v>
      </c>
      <c r="F35" s="84" t="inlineStr">
        <is>
          <t>decision</t>
        </is>
      </c>
      <c r="G35" s="85" t="inlineStr">
        <is>
          <t>Scope decision. Try 0 on disputes and watch the decision.</t>
        </is>
      </c>
      <c r="H35" s="86" t="n"/>
    </row>
    <row r="36" ht="15" customHeight="1" s="68">
      <c r="A36" s="82">
        <f>"   "&amp;TRIM($A$16)</f>
        <v/>
      </c>
      <c r="B36" s="82" t="inlineStr">
        <is>
          <t>1/0</t>
        </is>
      </c>
      <c r="C36" s="83" t="n">
        <v>1</v>
      </c>
      <c r="D36" s="83" t="n">
        <v>1</v>
      </c>
      <c r="E36" s="83" t="n">
        <v>1</v>
      </c>
      <c r="F36" s="84" t="inlineStr">
        <is>
          <t>decision</t>
        </is>
      </c>
      <c r="G36" s="85" t="inlineStr">
        <is>
          <t>Scope decision. Try 0 on disputes and watch the decision.</t>
        </is>
      </c>
      <c r="H36" s="86" t="n"/>
    </row>
    <row r="37"/>
    <row r="38" ht="15" customHeight="1" s="68">
      <c r="A38" s="81" t="inlineStr">
        <is>
          <t>ADOPTION RAMP — share of deflectable volume actually handled, by quarter</t>
        </is>
      </c>
    </row>
    <row r="39" ht="21.75" customHeight="1" s="68">
      <c r="A39" s="82" t="inlineStr">
        <is>
          <t xml:space="preserve">   Q1</t>
        </is>
      </c>
      <c r="B39" s="82" t="inlineStr">
        <is>
          <t>share</t>
        </is>
      </c>
      <c r="C39" s="94" t="n">
        <v>0.05</v>
      </c>
      <c r="D39" s="94" t="n">
        <v>0.15</v>
      </c>
      <c r="E39" s="94" t="n">
        <v>0.25</v>
      </c>
      <c r="F39" s="84" t="inlineStr">
        <is>
          <t>guess</t>
        </is>
      </c>
      <c r="G39" s="85" t="inlineStr">
        <is>
          <t>Pessimistic = the guardrail fails and the rollout stops at about 10% (S4/Q1 gate), not a world with heavy errors and full ramp. Staged rollout: routing starts on low-critical tickets, each step conditional on a guardrail holding (template: staged like Octopus Energy).</t>
        </is>
      </c>
      <c r="H39" s="95" t="n"/>
    </row>
    <row r="40" ht="21.75" customHeight="1" s="68">
      <c r="A40" s="82" t="inlineStr">
        <is>
          <t xml:space="preserve">   Q2</t>
        </is>
      </c>
      <c r="B40" s="82" t="inlineStr">
        <is>
          <t>share</t>
        </is>
      </c>
      <c r="C40" s="94" t="n">
        <v>0.1</v>
      </c>
      <c r="D40" s="94" t="n">
        <v>0.35</v>
      </c>
      <c r="E40" s="94" t="n">
        <v>0.5</v>
      </c>
      <c r="F40" s="84" t="inlineStr">
        <is>
          <t>guess</t>
        </is>
      </c>
      <c r="G40" s="85" t="inlineStr">
        <is>
          <t>staged like Octopus Energy (a handful → 34 % → 45 %); each step conditional on a guardrail holding</t>
        </is>
      </c>
      <c r="H40" s="95" t="n"/>
    </row>
    <row r="41" ht="21.75" customHeight="1" s="68">
      <c r="A41" s="82" t="inlineStr">
        <is>
          <t xml:space="preserve">   Q3</t>
        </is>
      </c>
      <c r="B41" s="82" t="inlineStr">
        <is>
          <t>share</t>
        </is>
      </c>
      <c r="C41" s="94" t="n">
        <v>0.1</v>
      </c>
      <c r="D41" s="94" t="n">
        <v>0.55</v>
      </c>
      <c r="E41" s="94" t="n">
        <v>0.7</v>
      </c>
      <c r="F41" s="84" t="inlineStr">
        <is>
          <t>guess</t>
        </is>
      </c>
      <c r="G41" s="85" t="inlineStr">
        <is>
          <t>staged like Octopus Energy (a handful → 34 % → 45 %); each step conditional on a guardrail holding</t>
        </is>
      </c>
      <c r="H41" s="95" t="n"/>
    </row>
    <row r="42" ht="21.75" customHeight="1" s="68">
      <c r="A42" s="82" t="inlineStr">
        <is>
          <t xml:space="preserve">   Q4</t>
        </is>
      </c>
      <c r="B42" s="82" t="inlineStr">
        <is>
          <t>share</t>
        </is>
      </c>
      <c r="C42" s="94" t="n">
        <v>0.1</v>
      </c>
      <c r="D42" s="94" t="n">
        <v>0.7</v>
      </c>
      <c r="E42" s="94" t="n">
        <v>0.85</v>
      </c>
      <c r="F42" s="84" t="inlineStr">
        <is>
          <t>guess</t>
        </is>
      </c>
      <c r="G42" s="85" t="inlineStr">
        <is>
          <t>staged like Octopus Energy (a handful → 34 % → 45 %); each step conditional on a guardrail holding</t>
        </is>
      </c>
      <c r="H42" s="95" t="n"/>
    </row>
    <row r="43"/>
    <row r="44" ht="15" customHeight="1" s="68">
      <c r="A44" s="81" t="inlineStr">
        <is>
          <t>AI HANDLING COST</t>
        </is>
      </c>
    </row>
    <row r="45" ht="21.75" customHeight="1" s="68">
      <c r="A45" s="82" t="inlineStr">
        <is>
          <t>AI cost per time-saved-equivalent ticket (tokens, inference)</t>
        </is>
      </c>
      <c r="B45" s="82" t="inlineStr">
        <is>
          <t>€ / conv.</t>
        </is>
      </c>
      <c r="C45" s="100">
        <f>Flow!C24/Flow!C15</f>
        <v/>
      </c>
      <c r="D45" s="100">
        <f>Flow!D24/Flow!D15</f>
        <v/>
      </c>
      <c r="E45" s="100">
        <f>Flow!E24/Flow!E15</f>
        <v/>
      </c>
      <c r="F45" s="84" t="inlineStr">
        <is>
          <t>guess</t>
        </is>
      </c>
      <c r="G45" s="85" t="inlineStr">
        <is>
          <t>AI cost per ticket handled (Flow tab, routing call + draft with retrieval) divided by the share of time saved. Course order of magnitude: EUR 0.02-0.20 per conversation. Recheck token prices the day you fill it in.</t>
        </is>
      </c>
      <c r="H45" s="89" t="n"/>
    </row>
    <row r="46" ht="15" customHeight="1" s="68">
      <c r="A46" s="82" t="inlineStr">
        <is>
          <t>Retry / escalation overhead</t>
        </is>
      </c>
      <c r="B46" s="82" t="inlineStr">
        <is>
          <t>×</t>
        </is>
      </c>
      <c r="C46" s="101" t="n">
        <v>1.5</v>
      </c>
      <c r="D46" s="101" t="n">
        <v>1.3</v>
      </c>
      <c r="E46" s="101" t="n">
        <v>1.2</v>
      </c>
      <c r="F46" s="84" t="inlineStr">
        <is>
          <t>guess</t>
        </is>
      </c>
      <c r="G46" s="85" t="inlineStr">
        <is>
          <t>Retries and second drafts after a reroute still cost tokens.</t>
        </is>
      </c>
      <c r="H46" s="102" t="n"/>
    </row>
    <row r="47"/>
    <row r="48" ht="15" customHeight="1" s="68">
      <c r="A48" s="81" t="inlineStr">
        <is>
          <t>FIXED AND SEMI-FIXED COSTS</t>
        </is>
      </c>
    </row>
    <row r="49" ht="15" customHeight="1" s="68">
      <c r="A49" s="82" t="inlineStr">
        <is>
          <t>Integration (CRM, knowledge base, auth, logging) — one-off</t>
        </is>
      </c>
      <c r="B49" s="82" t="inlineStr">
        <is>
          <t>€</t>
        </is>
      </c>
      <c r="C49" s="98" t="n">
        <v>110000</v>
      </c>
      <c r="D49" s="98" t="n">
        <v>80000</v>
      </c>
      <c r="E49" s="98" t="n">
        <v>60000</v>
      </c>
      <c r="F49" s="84" t="inlineStr">
        <is>
          <t>guess</t>
        </is>
      </c>
      <c r="G49" s="85" t="inlineStr">
        <is>
          <t>Helpdesk and ledger integration, retrieval over desk policies, routing table, logging, review screen. Internal estimate; get a quote.</t>
        </is>
      </c>
      <c r="H49" s="99" t="n"/>
    </row>
    <row r="50" ht="15" customHeight="1" s="68">
      <c r="A50" s="82" t="inlineStr">
        <is>
          <t>Amortisation period</t>
        </is>
      </c>
      <c r="B50" s="82" t="inlineStr">
        <is>
          <t>years</t>
        </is>
      </c>
      <c r="C50" s="83" t="n">
        <v>3</v>
      </c>
      <c r="D50" s="83" t="n">
        <v>3</v>
      </c>
      <c r="E50" s="83" t="n">
        <v>3</v>
      </c>
      <c r="F50" s="84" t="inlineStr">
        <is>
          <t>decision</t>
        </is>
      </c>
      <c r="G50" s="85" t="n"/>
      <c r="H50" s="86" t="n"/>
    </row>
    <row r="51" ht="15" customHeight="1" s="68">
      <c r="A51" s="82" t="inlineStr">
        <is>
          <t>Evaluation — eval-set upkeep and human graders</t>
        </is>
      </c>
      <c r="B51" s="82" t="inlineStr">
        <is>
          <t>€ / year</t>
        </is>
      </c>
      <c r="C51" s="98" t="n">
        <v>25000</v>
      </c>
      <c r="D51" s="98" t="n">
        <v>15000</v>
      </c>
      <c r="E51" s="98" t="n">
        <v>12000</v>
      </c>
      <c r="F51" s="84" t="inlineStr">
        <is>
          <t>guess</t>
        </is>
      </c>
      <c r="G51" s="85" t="inlineStr">
        <is>
          <t>Gold set upkeep, labelling by a second person, per-step evaluation.</t>
        </is>
      </c>
      <c r="H51" s="99" t="n"/>
    </row>
    <row r="52" ht="15" customHeight="1" s="68">
      <c r="A52" s="82" t="inlineStr">
        <is>
          <t>Quality owner - sampling audits, thresholds, upkeep</t>
        </is>
      </c>
      <c r="B52" s="82" t="inlineStr">
        <is>
          <t>FTE</t>
        </is>
      </c>
      <c r="C52" s="103" t="n">
        <v>0.75</v>
      </c>
      <c r="D52" s="103" t="n">
        <v>0.5</v>
      </c>
      <c r="E52" s="103" t="n">
        <v>0.35</v>
      </c>
      <c r="F52" s="84" t="inlineStr">
        <is>
          <t>guess</t>
        </is>
      </c>
      <c r="G52" s="85" t="inlineStr">
        <is>
          <t>Quality owner: sampling audits of auto-routed tickets, threshold tuning, prompt and table upkeep. Support agents' own triage and review time is already in handling time.</t>
        </is>
      </c>
      <c r="H52" s="86" t="n"/>
    </row>
    <row r="53" ht="15" customHeight="1" s="68">
      <c r="A53" s="82" t="inlineStr">
        <is>
          <t>Cost per supervision FTE</t>
        </is>
      </c>
      <c r="B53" s="82" t="inlineStr">
        <is>
          <t>€ / year</t>
        </is>
      </c>
      <c r="C53" s="98" t="n">
        <v>60000</v>
      </c>
      <c r="D53" s="98" t="n">
        <v>60000</v>
      </c>
      <c r="E53" s="98" t="n">
        <v>60000</v>
      </c>
      <c r="F53" s="84" t="inlineStr">
        <is>
          <t>guess</t>
        </is>
      </c>
      <c r="G53" s="85" t="inlineStr">
        <is>
          <t>Loaded cost of a qualified analyst; check against the agent cost in row 8.</t>
        </is>
      </c>
      <c r="H53" s="99" t="n"/>
    </row>
    <row r="54" ht="15" customHeight="1" s="68">
      <c r="A54" s="82" t="inlineStr">
        <is>
          <t>Monitoring and on-call</t>
        </is>
      </c>
      <c r="B54" s="82" t="inlineStr">
        <is>
          <t>€ / year</t>
        </is>
      </c>
      <c r="C54" s="98" t="n">
        <v>40000</v>
      </c>
      <c r="D54" s="98" t="n">
        <v>20000</v>
      </c>
      <c r="E54" s="98" t="n">
        <v>12000</v>
      </c>
      <c r="F54" s="84" t="inlineStr">
        <is>
          <t>guess</t>
        </is>
      </c>
      <c r="G54" s="85" t="inlineStr">
        <is>
          <t>Mostly people time for monitoring and on-call. Hosting of the two endpoints in our own cloud (router and drafter, scale to zero, see Read options tab) is about EUR 2-3k a year. Data constraint: no external model API (README).</t>
        </is>
      </c>
      <c r="H54" s="99" t="n"/>
    </row>
    <row r="55" ht="15" customHeight="1" s="68">
      <c r="A55" s="82" t="inlineStr">
        <is>
          <t>Model-version changes per year</t>
        </is>
      </c>
      <c r="B55" s="82" t="inlineStr">
        <is>
          <t>changes</t>
        </is>
      </c>
      <c r="C55" s="104" t="n">
        <v>4</v>
      </c>
      <c r="D55" s="104" t="n">
        <v>3</v>
      </c>
      <c r="E55" s="104" t="n">
        <v>2</v>
      </c>
      <c r="F55" s="84" t="inlineStr">
        <is>
          <t>guess</t>
        </is>
      </c>
      <c r="G55" s="85" t="inlineStr">
        <is>
          <t>Each model, prompt or table change replays the gold set (S7 trigger).</t>
        </is>
      </c>
      <c r="H55" s="86" t="n"/>
    </row>
    <row r="56" ht="15" customHeight="1" s="68">
      <c r="A56" s="82" t="inlineStr">
        <is>
          <t>Re-evaluation cost per model change</t>
        </is>
      </c>
      <c r="B56" s="82" t="inlineStr">
        <is>
          <t>€ / change</t>
        </is>
      </c>
      <c r="C56" s="98" t="n">
        <v>4000</v>
      </c>
      <c r="D56" s="98" t="n">
        <v>3000</v>
      </c>
      <c r="E56" s="98" t="n">
        <v>3000</v>
      </c>
      <c r="F56" s="84" t="inlineStr">
        <is>
          <t>guess</t>
        </is>
      </c>
      <c r="G56" s="85" t="n"/>
      <c r="H56" s="99" t="n"/>
    </row>
    <row r="57"/>
    <row r="58" ht="15" customHeight="1" s="68">
      <c r="A58" s="81" t="inlineStr">
        <is>
          <t>THE TWO COMPARISONS</t>
        </is>
      </c>
    </row>
    <row r="59" ht="15" customHeight="1" s="68">
      <c r="A59" s="87" t="inlineStr">
        <is>
          <t>Do-nothing: yearly efficiency gain of the current process</t>
        </is>
      </c>
      <c r="B59" s="82" t="inlineStr">
        <is>
          <t>share</t>
        </is>
      </c>
      <c r="C59" s="94" t="n">
        <v>0.02</v>
      </c>
      <c r="D59" s="94" t="n">
        <v>0.03</v>
      </c>
      <c r="E59" s="94" t="n">
        <v>0.05</v>
      </c>
      <c r="F59" s="84" t="inlineStr">
        <is>
          <t>analogy</t>
        </is>
      </c>
      <c r="G59" s="85" t="inlineStr">
        <is>
          <t>Agents get faster with experience and macros. The course class case uses 5% as the top of the range; base lower because our team has no stated tooling change.</t>
        </is>
      </c>
      <c r="H59" s="95" t="n"/>
    </row>
    <row r="60" ht="15" customHeight="1" s="68">
      <c r="A60" s="87" t="inlineStr">
        <is>
          <t>Next-best project — net annual value (the hurdle)</t>
        </is>
      </c>
      <c r="B60" s="82" t="inlineStr">
        <is>
          <t>€ / year</t>
        </is>
      </c>
      <c r="C60" s="105">
        <f>Flow!C35</f>
        <v/>
      </c>
      <c r="D60" s="105">
        <f>Flow!D35</f>
        <v/>
      </c>
      <c r="E60" s="105">
        <f>Flow!E35</f>
        <v/>
      </c>
      <c r="F60" s="84" t="inlineStr">
        <is>
          <t>guess</t>
        </is>
      </c>
      <c r="G60" s="85" t="inlineStr">
        <is>
          <t>Next-best project: rules-only ticket-to-transaction attach plus routing on structured fields, no AI (value derived on the Flow tab). Name: 'rules-only attach'.</t>
        </is>
      </c>
      <c r="H60" s="99" t="n"/>
    </row>
    <row r="61"/>
    <row r="62" ht="15" customHeight="1" s="68">
      <c r="A62" s="81" t="inlineStr">
        <is>
          <t>SCENARIO PROBABILITIES</t>
        </is>
      </c>
    </row>
    <row r="63" ht="15" customHeight="1" s="68">
      <c r="A63" s="87" t="inlineStr">
        <is>
          <t>Probability of each scenario</t>
        </is>
      </c>
      <c r="B63" s="82" t="inlineStr">
        <is>
          <t>p</t>
        </is>
      </c>
      <c r="C63" s="103" t="n">
        <v>0.3</v>
      </c>
      <c r="D63" s="103" t="n">
        <v>0.5</v>
      </c>
      <c r="E63" s="103" t="n">
        <v>0.2</v>
      </c>
      <c r="F63" s="84" t="inlineStr">
        <is>
          <t>judgement</t>
        </is>
      </c>
      <c r="G63" s="85" t="inlineStr">
        <is>
          <t>Our reading of the scenarios; must sum to 1.</t>
        </is>
      </c>
      <c r="H63" s="102" t="n"/>
    </row>
    <row r="64" ht="15" customHeight="1" s="68">
      <c r="A64" s="82" t="inlineStr">
        <is>
          <t>Check — probabilities sum to 1</t>
        </is>
      </c>
      <c r="D64" s="106">
        <f>SUM(C63:E63)</f>
        <v/>
      </c>
      <c r="G64" s="91" t="inlineStr">
        <is>
          <t>formula</t>
        </is>
      </c>
    </row>
    <row r="65"/>
    <row r="66" ht="15" customHeight="1" s="68">
      <c r="A66" s="81" t="inlineStr">
        <is>
          <t>OTHER VALUE — when your agent creates value beyond the work it removes (revenue retained, penalties avoided, sales…)</t>
        </is>
      </c>
    </row>
    <row r="67" ht="15" customHeight="1" s="68">
      <c r="A67" s="93" t="inlineStr">
        <is>
          <t>Other value 1 - hand-overs avoided (misrouted tickets)</t>
        </is>
      </c>
      <c r="B67" s="107" t="inlineStr">
        <is>
          <t>€ / yr</t>
        </is>
      </c>
      <c r="C67" s="108">
        <f>Flow!C30</f>
        <v/>
      </c>
      <c r="D67" s="108">
        <f>Flow!D30</f>
        <v/>
      </c>
      <c r="E67" s="108">
        <f>Flow!E30</f>
        <v/>
      </c>
      <c r="F67" s="93" t="inlineStr">
        <is>
          <t>guess</t>
        </is>
      </c>
      <c r="G67" s="109" t="inlineStr">
        <is>
          <t>Misroute rate falls from 1 in 7 (given) to 12% / 10% / 8% on tickets the copilot handles, x cost of a hand-over x adoption (Flow tab).</t>
        </is>
      </c>
    </row>
    <row r="68" ht="15" customHeight="1" s="68">
      <c r="A68" s="93" t="inlineStr">
        <is>
          <t>Other value 2 — rename (e.g. SLA penalties avoided)</t>
        </is>
      </c>
      <c r="B68" s="107" t="inlineStr">
        <is>
          <t>€ / yr</t>
        </is>
      </c>
      <c r="C68" s="110" t="n"/>
      <c r="D68" s="110" t="n"/>
      <c r="E68" s="110" t="n"/>
      <c r="F68" s="93" t="n"/>
      <c r="G68" s="109" t="inlineStr">
        <is>
          <t>Not used. Missed-deadline penalties avoided are not valued here: no contract data in the scenario (see memo).</t>
        </is>
      </c>
    </row>
    <row r="69"/>
    <row r="70" ht="15" customHeight="1" s="68">
      <c r="A70" s="81" t="inlineStr">
        <is>
          <t>Sources: README frozen brief (given figures). Course S2 slides (human ticket EUR 5-15; AI conversation EUR 0.02-0.20; do-nothing 5%). Brynjolfsson, Li &amp; Raymond, 'Generative AI at Work', QJE 140(2), 2025 (about -13% time per issue). Mastercard 2025 chargeback cost ($128). Job postings for customer advisers in France (France Travail, Michael Page, 2026) - to be re-sourced on the day. Token and GPU prices on the Read options tab are guesses to recheck.</t>
        </is>
      </c>
    </row>
    <row r="71"/>
    <row r="72"/>
    <row r="73"/>
    <row r="74"/>
    <row r="75"/>
    <row r="76"/>
    <row r="77"/>
    <row r="78"/>
  </sheetData>
  <mergeCells count="1">
    <mergeCell ref="A2:G2"/>
  </mergeCells>
  <dataValidations count="1">
    <dataValidation sqref="F6:F9 F14:F16 F18:F20 F22:F24 F26:F28 F30:F32 F34:F36 F39:F42 F45:F46 F49:F56 F59:F60 F63 F67:F68" showDropDown="0" showInputMessage="0" showErrorMessage="0" allowBlank="1" type="list" errorStyle="stop" operator="between">
      <formula1>"measured,analogy,guess,guess → S4 test,decision,judgement"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tabColor rgb="FF035CA0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2" customWidth="1" style="68" min="1" max="1"/>
    <col width="12" customWidth="1" style="68" min="2" max="2"/>
    <col width="14" customWidth="1" style="68" min="3" max="3"/>
    <col width="14" customWidth="1" style="68" min="4" max="4"/>
    <col width="14" customWidth="1" style="68" min="5" max="5"/>
    <col width="14" customWidth="1" style="68" min="6" max="6"/>
    <col width="90" customWidth="1" style="68" min="7" max="7"/>
  </cols>
  <sheetData>
    <row r="1">
      <c r="A1" s="111" t="inlineStr">
        <is>
          <t>02_sizing - Flow: how the inputs are derived (routing + drafting)</t>
        </is>
      </c>
    </row>
    <row r="2">
      <c r="A2" s="112" t="inlineStr">
        <is>
          <t>Yellow = input (Low = pessimistic, High = optimistic). Black = formula. Rows 15, 24, 30 and 35 feed the Inputs tab.</t>
        </is>
      </c>
    </row>
    <row r="4">
      <c r="A4" s="113" t="inlineStr">
        <is>
          <t>Line</t>
        </is>
      </c>
      <c r="B4" s="113" t="inlineStr">
        <is>
          <t>Unit</t>
        </is>
      </c>
      <c r="C4" s="113" t="inlineStr">
        <is>
          <t>Low</t>
        </is>
      </c>
      <c r="D4" s="113" t="inlineStr">
        <is>
          <t>Base</t>
        </is>
      </c>
      <c r="E4" s="113" t="inlineStr">
        <is>
          <t>High</t>
        </is>
      </c>
      <c r="F4" s="113" t="inlineStr">
        <is>
          <t>Source type</t>
        </is>
      </c>
      <c r="G4" s="113" t="inlineStr">
        <is>
          <t>Note / test</t>
        </is>
      </c>
    </row>
    <row r="5">
      <c r="A5" s="114" t="inlineStr">
        <is>
          <t>SUB-CASE A - ROUTING (read the message, route the ticket)</t>
        </is>
      </c>
    </row>
    <row r="6">
      <c r="A6" t="inlineStr">
        <is>
          <t>Share of handling time: reading and routing</t>
        </is>
      </c>
      <c r="B6" t="inlineStr">
        <is>
          <t>share</t>
        </is>
      </c>
      <c r="C6" s="115" t="n">
        <v>0.15</v>
      </c>
      <c r="D6" s="115" t="n">
        <v>0.15</v>
      </c>
      <c r="E6" s="115" t="n">
        <v>0.15</v>
      </c>
      <c r="F6" s="116" t="inlineStr">
        <is>
          <t>given</t>
        </is>
      </c>
      <c r="G6" s="117" t="inlineStr">
        <is>
          <t>README frozen brief.</t>
        </is>
      </c>
    </row>
    <row r="7">
      <c r="A7" t="inlineStr">
        <is>
          <t>Share of tickets routed automatically (clear and not critical)</t>
        </is>
      </c>
      <c r="B7" t="inlineStr">
        <is>
          <t>share</t>
        </is>
      </c>
      <c r="C7" s="115" t="n">
        <v>0.35</v>
      </c>
      <c r="D7" s="115" t="n">
        <v>0.55</v>
      </c>
      <c r="E7" s="115" t="n">
        <v>0.7</v>
      </c>
      <c r="F7" s="116" t="inlineStr">
        <is>
          <t>guess</t>
        </is>
      </c>
      <c r="G7" s="117" t="inlineStr">
        <is>
          <t>The rest goes to human triage. Test: gold set at several thresholds (S4).</t>
        </is>
      </c>
    </row>
    <row r="8">
      <c r="A8" t="inlineStr">
        <is>
          <t>Cut in reading and routing time on those tickets</t>
        </is>
      </c>
      <c r="B8" t="inlineStr">
        <is>
          <t>share</t>
        </is>
      </c>
      <c r="C8" s="115" t="n">
        <v>0.5</v>
      </c>
      <c r="D8" s="115" t="n">
        <v>0.65</v>
      </c>
      <c r="E8" s="115" t="n">
        <v>0.8</v>
      </c>
      <c r="F8" s="116" t="inlineStr">
        <is>
          <t>guess</t>
        </is>
      </c>
      <c r="G8" s="117" t="inlineStr">
        <is>
          <t>The agent no longer reads for routing, but still sees the case. Test: time study with and without (S5).</t>
        </is>
      </c>
    </row>
    <row r="9">
      <c r="A9" t="inlineStr">
        <is>
          <t>Time saved by A (share of total handling time)</t>
        </is>
      </c>
      <c r="B9" t="inlineStr">
        <is>
          <t>share</t>
        </is>
      </c>
      <c r="C9" s="118">
        <f>C6*C7*C8</f>
        <v/>
      </c>
      <c r="D9" s="118">
        <f>D6*D7*D8</f>
        <v/>
      </c>
      <c r="E9" s="118">
        <f>E6*E7*E8</f>
        <v/>
      </c>
      <c r="F9" t="inlineStr">
        <is>
          <t>formula</t>
        </is>
      </c>
      <c r="G9" s="117" t="inlineStr">
        <is>
          <t>Slice x auto-lane share x cut. Triage tickets save nothing here (conservative).</t>
        </is>
      </c>
    </row>
    <row r="10">
      <c r="A10" s="114" t="inlineStr">
        <is>
          <t>SUB-CASE B - DRAFTING (find the payment and history, write the reply)</t>
        </is>
      </c>
    </row>
    <row r="11">
      <c r="A11" t="inlineStr">
        <is>
          <t>Share of handling time: finding the payment and history, and writing</t>
        </is>
      </c>
      <c r="B11" t="inlineStr">
        <is>
          <t>share</t>
        </is>
      </c>
      <c r="C11" s="115" t="n">
        <v>0.45</v>
      </c>
      <c r="D11" s="115" t="n">
        <v>0.45</v>
      </c>
      <c r="E11" s="115" t="n">
        <v>0.45</v>
      </c>
      <c r="F11" s="116" t="inlineStr">
        <is>
          <t>given</t>
        </is>
      </c>
      <c r="G11" s="117" t="inlineStr">
        <is>
          <t>README frozen brief.</t>
        </is>
      </c>
    </row>
    <row r="12">
      <c r="A12" t="inlineStr">
        <is>
          <t>Cut in that time with a cited draft</t>
        </is>
      </c>
      <c r="B12" t="inlineStr">
        <is>
          <t>share</t>
        </is>
      </c>
      <c r="C12" s="115" t="n">
        <v>0.12</v>
      </c>
      <c r="D12" s="115" t="n">
        <v>0.22</v>
      </c>
      <c r="E12" s="115" t="n">
        <v>0.3</v>
      </c>
      <c r="F12" s="116" t="inlineStr">
        <is>
          <t>analogy</t>
        </is>
      </c>
      <c r="G12" s="117" t="inlineStr">
        <is>
          <t>Published gain is about -13% time per issue overall (Brynjolfsson et al., QJE 2025) on all work; this slice is where a draft acts, so a larger cut here. Test: S5/S6.</t>
        </is>
      </c>
    </row>
    <row r="13">
      <c r="A13" t="inlineStr">
        <is>
          <t>Share of tickets correctly routed (the draft is usable)</t>
        </is>
      </c>
      <c r="B13" t="inlineStr">
        <is>
          <t>share</t>
        </is>
      </c>
      <c r="C13" s="115" t="n">
        <v>0.88</v>
      </c>
      <c r="D13" s="115" t="n">
        <v>0.92</v>
      </c>
      <c r="E13" s="115" t="n">
        <v>0.95</v>
      </c>
      <c r="F13" s="116" t="inlineStr">
        <is>
          <t>guess</t>
        </is>
      </c>
      <c r="G13" s="117" t="inlineStr">
        <is>
          <t>Today 6 in 7 (86%, given). The copilot improves it; a misrouted ticket gets a draft for the wrong desk and no saving.</t>
        </is>
      </c>
    </row>
    <row r="14">
      <c r="A14" t="inlineStr">
        <is>
          <t>Time saved by B (share of total handling time)</t>
        </is>
      </c>
      <c r="B14" t="inlineStr">
        <is>
          <t>share</t>
        </is>
      </c>
      <c r="C14" s="118">
        <f>C11*C12*C13</f>
        <v/>
      </c>
      <c r="D14" s="118">
        <f>D11*D12*D13</f>
        <v/>
      </c>
      <c r="E14" s="118">
        <f>E11*E12*E13</f>
        <v/>
      </c>
      <c r="F14" t="inlineStr">
        <is>
          <t>formula</t>
        </is>
      </c>
      <c r="G14" s="117" t="inlineStr">
        <is>
          <t>Slice x cut x correctly routed share.</t>
        </is>
      </c>
    </row>
    <row r="15">
      <c r="A15" t="inlineStr">
        <is>
          <t>TOTAL time saved at full adoption (share of handling time)</t>
        </is>
      </c>
      <c r="B15" t="inlineStr">
        <is>
          <t>share</t>
        </is>
      </c>
      <c r="C15" s="118">
        <f>C9+C14</f>
        <v/>
      </c>
      <c r="D15" s="118">
        <f>D9+D14</f>
        <v/>
      </c>
      <c r="E15" s="118">
        <f>E9+E14</f>
        <v/>
      </c>
      <c r="F15" t="inlineStr">
        <is>
          <t>formula</t>
        </is>
      </c>
      <c r="G15" s="117" t="inlineStr">
        <is>
          <t>Feeds Inputs rows 22-24. Cross-check: published about 13%; the course's own P2 example uses 20%.</t>
        </is>
      </c>
    </row>
    <row r="17">
      <c r="A17" s="114" t="inlineStr">
        <is>
          <t>ERRORS AND AI COST (per ticket the copilot handles)</t>
        </is>
      </c>
    </row>
    <row r="19">
      <c r="A19" t="inlineStr">
        <is>
          <t>Uncaught serious errors per ticket handled - payment status</t>
        </is>
      </c>
      <c r="B19" t="inlineStr">
        <is>
          <t>share</t>
        </is>
      </c>
      <c r="C19" s="119" t="n">
        <v>0.001</v>
      </c>
      <c r="D19" s="119" t="n">
        <v>0.0005</v>
      </c>
      <c r="E19" s="119" t="n">
        <v>0.0003</v>
      </c>
      <c r="F19" s="116" t="inlineStr">
        <is>
          <t>guess</t>
        </is>
      </c>
      <c r="G19" s="117" t="inlineStr">
        <is>
          <t>INCREMENTAL uncaught serious errors versus today (humans also misroute 1 in 7): auto-route error nobody catches, or wrong draft validated unread, with a real consequence. Test: seeded errors in S4 (hypothesis 4).</t>
        </is>
      </c>
    </row>
    <row r="20">
      <c r="A20" t="inlineStr">
        <is>
          <t>Uncaught serious errors per ticket handled - disputes</t>
        </is>
      </c>
      <c r="B20" t="inlineStr">
        <is>
          <t>share</t>
        </is>
      </c>
      <c r="C20" s="119" t="n">
        <v>0.0025</v>
      </c>
      <c r="D20" s="119" t="n">
        <v>0.0012</v>
      </c>
      <c r="E20" s="119" t="n">
        <v>0.0007</v>
      </c>
      <c r="F20" s="116" t="inlineStr">
        <is>
          <t>guess</t>
        </is>
      </c>
      <c r="G20" s="117" t="inlineStr">
        <is>
          <t>Higher: deadlines and amounts.</t>
        </is>
      </c>
    </row>
    <row r="21">
      <c r="A21" t="inlineStr">
        <is>
          <t>Uncaught serious errors per ticket handled - technical / compliance</t>
        </is>
      </c>
      <c r="B21" t="inlineStr">
        <is>
          <t>share</t>
        </is>
      </c>
      <c r="C21" s="119" t="n">
        <v>0.0015</v>
      </c>
      <c r="D21" s="119" t="n">
        <v>0.0008</v>
      </c>
      <c r="E21" s="119" t="n">
        <v>0.0005</v>
      </c>
      <c r="F21" s="116" t="inlineStr">
        <is>
          <t>guess</t>
        </is>
      </c>
      <c r="G21" s="117" t="n"/>
    </row>
    <row r="22">
      <c r="A22" t="inlineStr">
        <is>
          <t>AI cost per ticket handled - routing model call</t>
        </is>
      </c>
      <c r="B22" t="inlineStr">
        <is>
          <t>EUR</t>
        </is>
      </c>
      <c r="C22" s="120" t="n">
        <v>0.003</v>
      </c>
      <c r="D22" s="120" t="n">
        <v>0.002</v>
      </c>
      <c r="E22" s="120" t="n">
        <v>0.001</v>
      </c>
      <c r="F22" s="116" t="inlineStr">
        <is>
          <t>guess</t>
        </is>
      </c>
      <c r="G22" s="117" t="inlineStr">
        <is>
          <t>Self-hosted small model: marginal cost is near zero, the endpoint is a fixed cost (Read options tab).</t>
        </is>
      </c>
    </row>
    <row r="23">
      <c r="A23" t="inlineStr">
        <is>
          <t>AI cost per ticket handled - draft (retrieval, queries, generation)</t>
        </is>
      </c>
      <c r="B23" t="inlineStr">
        <is>
          <t>EUR</t>
        </is>
      </c>
      <c r="C23" s="120" t="n">
        <v>0.01</v>
      </c>
      <c r="D23" s="120" t="n">
        <v>0.005</v>
      </c>
      <c r="E23" s="120" t="n">
        <v>0.003</v>
      </c>
      <c r="F23" s="116" t="inlineStr">
        <is>
          <t>guess</t>
        </is>
      </c>
      <c r="G23" s="117" t="inlineStr">
        <is>
          <t>Self-hosted drafter: the marginal cost per ticket is near zero (retrieval, database queries, power); the endpoint is a fixed cost in Inputs row 54.</t>
        </is>
      </c>
    </row>
    <row r="24">
      <c r="A24" t="inlineStr">
        <is>
          <t>AI cost per ticket handled - total</t>
        </is>
      </c>
      <c r="B24" t="inlineStr">
        <is>
          <t>EUR</t>
        </is>
      </c>
      <c r="C24" s="121">
        <f>C22+C23</f>
        <v/>
      </c>
      <c r="D24" s="121">
        <f>D22+D23</f>
        <v/>
      </c>
      <c r="E24" s="121">
        <f>E22+E23</f>
        <v/>
      </c>
      <c r="F24" t="inlineStr">
        <is>
          <t>formula</t>
        </is>
      </c>
      <c r="G24" s="117" t="inlineStr">
        <is>
          <t>Feeds Inputs row 45.</t>
        </is>
      </c>
    </row>
    <row r="25">
      <c r="A25" s="114" t="inlineStr">
        <is>
          <t>OTHER VALUE - hand-overs avoided</t>
        </is>
      </c>
    </row>
    <row r="26">
      <c r="A26" t="inlineStr">
        <is>
          <t>Misroute rate today</t>
        </is>
      </c>
      <c r="B26" t="inlineStr">
        <is>
          <t>share</t>
        </is>
      </c>
      <c r="C26" s="118">
        <f>1/7</f>
        <v/>
      </c>
      <c r="D26" s="118">
        <f>1/7</f>
        <v/>
      </c>
      <c r="E26" s="118">
        <f>1/7</f>
        <v/>
      </c>
      <c r="F26" s="116" t="inlineStr">
        <is>
          <t>given</t>
        </is>
      </c>
      <c r="G26" s="117" t="inlineStr">
        <is>
          <t>1 ticket in 7 first lands in the wrong desk (README).</t>
        </is>
      </c>
    </row>
    <row r="27">
      <c r="A27" t="inlineStr">
        <is>
          <t>Misroute rate on tickets the copilot handles</t>
        </is>
      </c>
      <c r="B27" t="inlineStr">
        <is>
          <t>share</t>
        </is>
      </c>
      <c r="C27" s="118">
        <f>1-C13</f>
        <v/>
      </c>
      <c r="D27" s="118">
        <f>1-D13</f>
        <v/>
      </c>
      <c r="E27" s="118">
        <f>1-E13</f>
        <v/>
      </c>
      <c r="F27" s="116" t="inlineStr">
        <is>
          <t>formula</t>
        </is>
      </c>
      <c r="G27" s="117" t="inlineStr">
        <is>
          <t>Equal to 1 minus the correctly routed share of row 13. Test: reroute counts in S4 (gold set) then S6.</t>
        </is>
      </c>
    </row>
    <row r="28">
      <c r="A28" t="inlineStr">
        <is>
          <t>Cost of one hand-over</t>
        </is>
      </c>
      <c r="B28" t="inlineStr">
        <is>
          <t>EUR</t>
        </is>
      </c>
      <c r="C28" s="122" t="n">
        <v>2</v>
      </c>
      <c r="D28" s="122" t="n">
        <v>3</v>
      </c>
      <c r="E28" s="122" t="n">
        <v>4</v>
      </c>
      <c r="F28" s="116" t="inlineStr">
        <is>
          <t>guess</t>
        </is>
      </c>
      <c r="G28" s="117" t="inlineStr">
        <is>
          <t>Queue delay and merchant irritation only: the second desk re-reading is hands-on time already inside the 15% slice. Test: time study.</t>
        </is>
      </c>
    </row>
    <row r="29">
      <c r="A29" t="inlineStr">
        <is>
          <t>Year-1 adoption factor (average of the four quarters)</t>
        </is>
      </c>
      <c r="B29" t="inlineStr">
        <is>
          <t>share</t>
        </is>
      </c>
      <c r="C29" s="118">
        <f>AVERAGE(Inputs!C39:C42)</f>
        <v/>
      </c>
      <c r="D29" s="118">
        <f>AVERAGE(Inputs!D39:D42)</f>
        <v/>
      </c>
      <c r="E29" s="118">
        <f>AVERAGE(Inputs!E39:E42)</f>
        <v/>
      </c>
      <c r="F29" t="inlineStr">
        <is>
          <t>formula</t>
        </is>
      </c>
      <c r="G29" s="117" t="n"/>
    </row>
    <row r="30">
      <c r="A30" t="inlineStr">
        <is>
          <t>Hand-overs avoided, year-1 value</t>
        </is>
      </c>
      <c r="B30" t="inlineStr">
        <is>
          <t>EUR / yr</t>
        </is>
      </c>
      <c r="C30" s="123">
        <f>Inputs!C6*12*(C26-C27)*C29*C28</f>
        <v/>
      </c>
      <c r="D30" s="123">
        <f>Inputs!D6*12*(D26-D27)*D29*D28</f>
        <v/>
      </c>
      <c r="E30" s="123">
        <f>Inputs!E6*12*(E26-E27)*E29*E28</f>
        <v/>
      </c>
      <c r="F30" t="inlineStr">
        <is>
          <t>formula</t>
        </is>
      </c>
      <c r="G30" s="117" t="inlineStr">
        <is>
          <t>Feeds Inputs row 67.</t>
        </is>
      </c>
    </row>
    <row r="31">
      <c r="A31" s="114" t="inlineStr">
        <is>
          <t>NEXT-BEST PROJECT - rules-only ticket-to-transaction attach and routing on structured fields (no AI)</t>
        </is>
      </c>
    </row>
    <row r="32">
      <c r="A32" t="inlineStr">
        <is>
          <t>Share of handling time saved</t>
        </is>
      </c>
      <c r="B32" t="inlineStr">
        <is>
          <t>share</t>
        </is>
      </c>
      <c r="C32" s="115" t="n">
        <v>0.03</v>
      </c>
      <c r="D32" s="115" t="n">
        <v>0.06</v>
      </c>
      <c r="E32" s="115" t="n">
        <v>0.09</v>
      </c>
      <c r="F32" s="116" t="inlineStr">
        <is>
          <t>guess</t>
        </is>
      </c>
      <c r="G32" s="117" t="inlineStr">
        <is>
          <t>Removes the search for the payment (about half of slice B) for tickets with an ID or amount, and routes the structured part. Test: observe 20 tickets.</t>
        </is>
      </c>
    </row>
    <row r="33">
      <c r="A33" t="inlineStr">
        <is>
          <t>Adoption factor</t>
        </is>
      </c>
      <c r="B33" t="inlineStr">
        <is>
          <t>share</t>
        </is>
      </c>
      <c r="C33" s="115" t="n">
        <v>0.6</v>
      </c>
      <c r="D33" s="115" t="n">
        <v>0.7</v>
      </c>
      <c r="E33" s="115" t="n">
        <v>0.8</v>
      </c>
      <c r="F33" s="116" t="inlineStr">
        <is>
          <t>guess</t>
        </is>
      </c>
      <c r="G33" s="117" t="inlineStr">
        <is>
          <t>A rule needs less ramp-up than a model, but it also has a build quarter.</t>
        </is>
      </c>
    </row>
    <row r="34">
      <c r="A34" t="inlineStr">
        <is>
          <t>Yearly cost (build amortised + upkeep)</t>
        </is>
      </c>
      <c r="B34" t="inlineStr">
        <is>
          <t>EUR / yr</t>
        </is>
      </c>
      <c r="C34" s="122" t="n">
        <v>35000</v>
      </c>
      <c r="D34" s="122" t="n">
        <v>30000</v>
      </c>
      <c r="E34" s="122" t="n">
        <v>25000</v>
      </c>
      <c r="F34" s="116" t="inlineStr">
        <is>
          <t>guess</t>
        </is>
      </c>
      <c r="G34" s="117" t="inlineStr">
        <is>
          <t>Integration is the same work as step 3 of the copilot, so it is not lost if the copilot is built later.</t>
        </is>
      </c>
    </row>
    <row r="35">
      <c r="A35" t="inlineStr">
        <is>
          <t>Net annual value of the next-best project</t>
        </is>
      </c>
      <c r="B35" t="inlineStr">
        <is>
          <t>EUR / yr</t>
        </is>
      </c>
      <c r="C35" s="123">
        <f>Inputs!C6*12*C32*Inputs!C9*C33-C34</f>
        <v/>
      </c>
      <c r="D35" s="123">
        <f>Inputs!D6*12*D32*Inputs!D9*D33-D34</f>
        <v/>
      </c>
      <c r="E35" s="123">
        <f>Inputs!E6*12*E32*Inputs!E9*E33-E34</f>
        <v/>
      </c>
      <c r="F35" t="inlineStr">
        <is>
          <t>formula</t>
        </is>
      </c>
      <c r="G35" s="117" t="inlineStr">
        <is>
          <t>Feeds Inputs row 60 (the hurdle).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35CA0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8" customWidth="1" style="68" min="1" max="1"/>
    <col width="16" customWidth="1" style="68" min="2" max="2"/>
    <col width="16" customWidth="1" style="68" min="3" max="3"/>
    <col width="16" customWidth="1" style="68" min="4" max="4"/>
    <col width="16" customWidth="1" style="68" min="5" max="5"/>
    <col width="16" customWidth="1" style="68" min="6" max="6"/>
    <col width="16" customWidth="1" style="68" min="7" max="7"/>
    <col width="80" customWidth="1" style="68" min="8" max="8"/>
  </cols>
  <sheetData>
    <row r="1">
      <c r="A1" s="111" t="inlineStr">
        <is>
          <t>02_sizing - Read options: monthly cost of the five ways to read a ticket (step 1)</t>
        </is>
      </c>
    </row>
    <row r="2">
      <c r="A2" s="112" t="inlineStr">
        <is>
          <t>All prices are guesses to recheck on the day. Effectiveness is NOT scored here: it is measured on the gold set in S4. This tab answers the cost and data-control criteria only.</t>
        </is>
      </c>
    </row>
    <row r="4">
      <c r="A4" s="114" t="inlineStr">
        <is>
          <t>ASSUMPTIONS</t>
        </is>
      </c>
    </row>
    <row r="5">
      <c r="A5" t="inlineStr">
        <is>
          <t>Tickets per month</t>
        </is>
      </c>
      <c r="B5" t="inlineStr">
        <is>
          <t>tickets</t>
        </is>
      </c>
      <c r="C5" s="124">
        <f>Inputs!D6</f>
        <v/>
      </c>
      <c r="D5" t="inlineStr">
        <is>
          <t>given</t>
        </is>
      </c>
      <c r="H5" s="112" t="inlineStr">
        <is>
          <t>Scenario data.</t>
        </is>
      </c>
    </row>
    <row r="6">
      <c r="A6" t="inlineStr">
        <is>
          <t>Input tokens per ticket (instructions, examples, message)</t>
        </is>
      </c>
      <c r="B6" t="inlineStr">
        <is>
          <t>tokens</t>
        </is>
      </c>
      <c r="C6" s="125" t="n">
        <v>1200</v>
      </c>
      <c r="D6" t="inlineStr">
        <is>
          <t>guess</t>
        </is>
      </c>
      <c r="H6" s="112" t="inlineStr">
        <is>
          <t>Prompted options need instructions and a few examples; the fine-tuned model needs far fewer.</t>
        </is>
      </c>
    </row>
    <row r="7">
      <c r="A7" t="inlineStr">
        <is>
          <t>Output tokens per ticket (the JSON)</t>
        </is>
      </c>
      <c r="B7" t="inlineStr">
        <is>
          <t>tokens</t>
        </is>
      </c>
      <c r="C7" s="125" t="n">
        <v>150</v>
      </c>
      <c r="D7" t="inlineStr">
        <is>
          <t>guess</t>
        </is>
      </c>
      <c r="H7" s="112" t="n"/>
    </row>
    <row r="8">
      <c r="A8" t="inlineStr">
        <is>
          <t>API price, small model - input</t>
        </is>
      </c>
      <c r="B8" t="inlineStr">
        <is>
          <t>EUR / M tokens</t>
        </is>
      </c>
      <c r="C8" s="120" t="n">
        <v>0.15</v>
      </c>
      <c r="D8" t="inlineStr">
        <is>
          <t>guess</t>
        </is>
      </c>
      <c r="H8" s="112" t="inlineStr">
        <is>
          <t>Recheck on the provider's price page the day you use it.</t>
        </is>
      </c>
    </row>
    <row r="9">
      <c r="A9" t="inlineStr">
        <is>
          <t>API price, small model - output</t>
        </is>
      </c>
      <c r="B9" t="inlineStr">
        <is>
          <t>EUR / M tokens</t>
        </is>
      </c>
      <c r="C9" s="120" t="n">
        <v>0.6</v>
      </c>
      <c r="D9" t="inlineStr">
        <is>
          <t>guess</t>
        </is>
      </c>
      <c r="H9" s="112" t="n"/>
    </row>
    <row r="10">
      <c r="A10" t="inlineStr">
        <is>
          <t>API price, large model - input</t>
        </is>
      </c>
      <c r="B10" t="inlineStr">
        <is>
          <t>EUR / M tokens</t>
        </is>
      </c>
      <c r="C10" s="120" t="n">
        <v>3</v>
      </c>
      <c r="D10" t="inlineStr">
        <is>
          <t>guess</t>
        </is>
      </c>
      <c r="H10" s="112" t="n"/>
    </row>
    <row r="11">
      <c r="A11" t="inlineStr">
        <is>
          <t>API price, large model - output</t>
        </is>
      </c>
      <c r="B11" t="inlineStr">
        <is>
          <t>EUR / M tokens</t>
        </is>
      </c>
      <c r="C11" s="120" t="n">
        <v>15</v>
      </c>
      <c r="D11" t="inlineStr">
        <is>
          <t>guess</t>
        </is>
      </c>
      <c r="H11" s="112" t="n"/>
    </row>
    <row r="12">
      <c r="A12" t="inlineStr">
        <is>
          <t>Router endpoint in our cloud account - small fine-tuned model, CPU, scale to zero</t>
        </is>
      </c>
      <c r="B12" t="inlineStr">
        <is>
          <t>EUR / month</t>
        </is>
      </c>
      <c r="C12" s="122" t="n">
        <v>10</v>
      </c>
      <c r="D12" t="inlineStr">
        <is>
          <t>guess</t>
        </is>
      </c>
      <c r="H12" s="112" t="inlineStr">
        <is>
          <t>Container on Cloud Run with min-instances 0, billed per second, same pattern as the Museum Guide demo (free tier at its volume). 20,000 tickets x ~4 s x 2 vCPU is about 160k vCPU-seconds a month, around the free tier. Recheck the price list.</t>
        </is>
      </c>
    </row>
    <row r="13">
      <c r="A13" t="inlineStr">
        <is>
          <t>Fine-tuning runs per year</t>
        </is>
      </c>
      <c r="B13" t="inlineStr">
        <is>
          <t>runs</t>
        </is>
      </c>
      <c r="C13" s="126" t="n">
        <v>4</v>
      </c>
      <c r="D13" t="inlineStr">
        <is>
          <t>guess</t>
        </is>
      </c>
      <c r="H13" s="112" t="inlineStr">
        <is>
          <t>Initial training plus re-training when the gold set or taxonomy changes.</t>
        </is>
      </c>
    </row>
    <row r="14">
      <c r="A14" t="inlineStr">
        <is>
          <t>Cost of one fine-tuning run</t>
        </is>
      </c>
      <c r="B14" t="inlineStr">
        <is>
          <t>EUR</t>
        </is>
      </c>
      <c r="C14" s="122" t="n">
        <v>300</v>
      </c>
      <c r="D14" t="inlineStr">
        <is>
          <t>guess</t>
        </is>
      </c>
      <c r="H14" s="112" t="inlineStr">
        <is>
          <t>Small model, short run on a rented GPU. Does not include people time (that is in evaluation and supervision).</t>
        </is>
      </c>
    </row>
    <row r="15">
      <c r="A15" t="inlineStr">
        <is>
          <t>Larger open-source model (7-30B), prompted - drafter class, GPU scale to zero</t>
        </is>
      </c>
      <c r="B15" t="inlineStr">
        <is>
          <t>EUR / month</t>
        </is>
      </c>
      <c r="C15" s="122" t="n">
        <v>100</v>
      </c>
      <c r="D15" t="inlineStr">
        <is>
          <t>guess</t>
        </is>
      </c>
      <c r="H15" s="112" t="inlineStr">
        <is>
          <t>GPU billed per second, no always-on cost: tickets are processed asynchronously, so a cold start of tens of seconds is acceptable. About 20,000 x 15 s = 83 GPU-hours at roughly EUR 0.8-1 an hour. Recheck the price list.</t>
        </is>
      </c>
    </row>
    <row r="16">
      <c r="A16" s="113" t="inlineStr">
        <is>
          <t>Option</t>
        </is>
      </c>
      <c r="B16" s="113" t="inlineStr"/>
      <c r="C16" s="113" t="inlineStr">
        <is>
          <t>EUR / month</t>
        </is>
      </c>
      <c r="D16" s="113" t="inlineStr">
        <is>
          <t>EUR / year</t>
        </is>
      </c>
      <c r="E16" s="113" t="inlineStr">
        <is>
          <t>Tickets leave Keelpay?</t>
        </is>
      </c>
      <c r="F16" s="113" t="inlineStr">
        <is>
          <t>Version pinned by us?</t>
        </is>
      </c>
      <c r="G16" s="113" t="inlineStr"/>
      <c r="H16" s="113" t="inlineStr">
        <is>
          <t>How it is computed / note</t>
        </is>
      </c>
    </row>
    <row r="17">
      <c r="A17" t="inlineStr">
        <is>
          <t>A - Deterministic rules</t>
        </is>
      </c>
      <c r="C17" s="122" t="n">
        <v>20</v>
      </c>
      <c r="D17" s="127">
        <f>C17*12</f>
        <v/>
      </c>
      <c r="E17" t="inlineStr">
        <is>
          <t>no</t>
        </is>
      </c>
      <c r="F17" t="inlineStr">
        <is>
          <t>yes</t>
        </is>
      </c>
      <c r="H17" s="112" t="inlineStr">
        <is>
          <t>Small service, mostly maintenance time (not counted).</t>
        </is>
      </c>
    </row>
    <row r="18">
      <c r="A18" t="inlineStr">
        <is>
          <t>B - Classical ML / small encoder</t>
        </is>
      </c>
      <c r="C18" s="122" t="n">
        <v>60</v>
      </c>
      <c r="D18" s="127">
        <f>C18*12</f>
        <v/>
      </c>
      <c r="E18" t="inlineStr">
        <is>
          <t>no</t>
        </is>
      </c>
      <c r="F18" t="inlineStr">
        <is>
          <t>yes</t>
        </is>
      </c>
      <c r="H18" s="112" t="inlineStr">
        <is>
          <t>CPU service; labelling effort sits in evaluation.</t>
        </is>
      </c>
    </row>
    <row r="19">
      <c r="A19" t="inlineStr">
        <is>
          <t>C - Open-source LLM, prompted, in our cloud account</t>
        </is>
      </c>
      <c r="C19" s="127">
        <f>C15</f>
        <v/>
      </c>
      <c r="D19" s="127">
        <f>C19*12</f>
        <v/>
      </c>
      <c r="E19" t="inlineStr">
        <is>
          <t>no</t>
        </is>
      </c>
      <c r="F19" t="inlineStr">
        <is>
          <t>yes</t>
        </is>
      </c>
      <c r="H19" s="112" t="inlineStr">
        <is>
          <t>Larger model, bigger GPU than D.</t>
        </is>
      </c>
    </row>
    <row r="20">
      <c r="A20" t="inlineStr">
        <is>
          <t>D - Small fine-tuned LLM, in our cloud account</t>
        </is>
      </c>
      <c r="C20" s="127">
        <f>C12+C13*C14/12</f>
        <v/>
      </c>
      <c r="D20" s="127">
        <f>C20*12</f>
        <v/>
      </c>
      <c r="E20" t="inlineStr">
        <is>
          <t>no</t>
        </is>
      </c>
      <c r="F20" t="inlineStr">
        <is>
          <t>yes</t>
        </is>
      </c>
      <c r="H20" s="112" t="inlineStr">
        <is>
          <t>Endpoint plus training runs spread over the year.</t>
        </is>
      </c>
    </row>
    <row r="21">
      <c r="A21" t="inlineStr">
        <is>
          <t>E1 - External API, small model (REFERENCE ONLY, excluded)</t>
        </is>
      </c>
      <c r="C21" s="127">
        <f>C5*(C6*C8+C7*C9)/1000000</f>
        <v/>
      </c>
      <c r="D21" s="127">
        <f>C21*12</f>
        <v/>
      </c>
      <c r="E21" t="inlineStr">
        <is>
          <t>yes</t>
        </is>
      </c>
      <c r="F21" t="inlineStr">
        <is>
          <t>no (provider can retire it)</t>
        </is>
      </c>
      <c r="H21" s="112" t="inlineStr">
        <is>
          <t>Excluded by the data constraint: tickets never leave Keelpay's cloud. Shown to price the constraint.</t>
        </is>
      </c>
    </row>
    <row r="22">
      <c r="A22" t="inlineStr">
        <is>
          <t>E2 - External API, large model (REFERENCE ONLY, excluded)</t>
        </is>
      </c>
      <c r="C22" s="127">
        <f>C5*(C6*C10+C7*C11)/1000000</f>
        <v/>
      </c>
      <c r="D22" s="127">
        <f>C22*12</f>
        <v/>
      </c>
      <c r="E22" t="inlineStr">
        <is>
          <t>yes</t>
        </is>
      </c>
      <c r="F22" t="inlineStr">
        <is>
          <t>no (provider can retire it)</t>
        </is>
      </c>
      <c r="H22" s="112" t="inlineStr">
        <is>
          <t>Same, large model.</t>
        </is>
      </c>
    </row>
    <row r="24">
      <c r="A24" s="114" t="inlineStr">
        <is>
          <t>BREAK-EVEN</t>
        </is>
      </c>
    </row>
    <row r="25">
      <c r="A25" t="inlineStr">
        <is>
          <t>API cost per ticket, small model (E1)</t>
        </is>
      </c>
      <c r="C25" s="128">
        <f>(C6*C8+C7*C9)/1000000</f>
        <v/>
      </c>
    </row>
    <row r="26">
      <c r="A26" t="inlineStr">
        <is>
          <t>Volume above which self-hosting D costs less than E1</t>
        </is>
      </c>
      <c r="B26" t="inlineStr">
        <is>
          <t>tickets / month</t>
        </is>
      </c>
      <c r="C26" s="124">
        <f>IFERROR(C20/C25,"")</f>
        <v/>
      </c>
    </row>
    <row r="27">
      <c r="A27" t="inlineStr">
        <is>
          <t>... as a multiple of our volume</t>
        </is>
      </c>
      <c r="C27" s="129">
        <f>IFERROR(C26/C5,"")</f>
        <v/>
      </c>
    </row>
    <row r="28">
      <c r="A28" s="130" t="inlineStr">
        <is>
          <t>Reading: the data constraint (README) removes E, so the real comparison is A, B, C and D inside our cloud. With scale-to-zero hosting (billed per second, as in the Museum Guide demo) all four cost tens of euros a month, far below the value of accuracy (one point of routing accuracy is worth about EUR 14k a year in hand-overs). So cost does not decide: D must win on the gold set (accuracy on urgent tickets, valid JSON, latency). E is shown only to price the constraint: a few tens of euros a month, so the constraint costs almost nothing and is cheap insurance for tickets that carry payment data.</t>
        </is>
      </c>
    </row>
    <row r="29"/>
    <row r="30"/>
  </sheetData>
  <mergeCells count="1">
    <mergeCell ref="A28:H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2" customWidth="1" style="67" min="1" max="1"/>
    <col width="12" customWidth="1" style="67" min="2" max="2"/>
    <col width="15" customWidth="1" style="67" min="3" max="5"/>
    <col width="60" customWidth="1" style="67" min="6" max="6"/>
  </cols>
  <sheetData>
    <row r="1" ht="17.25" customHeight="1" s="68">
      <c r="A1" s="77" t="inlineStr">
        <is>
          <t>02_sizing — your agent · Upside (bottom-up tree per category, year 1)</t>
        </is>
      </c>
    </row>
    <row r="2" ht="15" customHeight="1" s="68">
      <c r="A2" s="131" t="inlineStr">
        <is>
          <t>All cells are formulas linked to Inputs (green = link to another sheet). Read each block top to bottom: it is the tree from the S2 slides, per ticket category.</t>
        </is>
      </c>
    </row>
    <row r="4" ht="27.75" customHeight="1" s="68">
      <c r="A4" s="79" t="inlineStr">
        <is>
          <t>Line</t>
        </is>
      </c>
      <c r="B4" s="79" t="inlineStr">
        <is>
          <t>Unit</t>
        </is>
      </c>
      <c r="C4" s="79" t="inlineStr">
        <is>
          <t>Low</t>
        </is>
      </c>
      <c r="D4" s="79" t="inlineStr">
        <is>
          <t>Base</t>
        </is>
      </c>
      <c r="E4" s="79" t="inlineStr">
        <is>
          <t>High</t>
        </is>
      </c>
      <c r="F4" s="79" t="inlineStr">
        <is>
          <t>How it is computed</t>
        </is>
      </c>
    </row>
    <row r="5" ht="15" customHeight="1" s="68">
      <c r="A5" s="87" t="inlineStr">
        <is>
          <t>Year-1 adoption factor (average of the four quarters)</t>
        </is>
      </c>
      <c r="C5" s="132">
        <f>IFERROR(AVERAGE(Inputs!C39:C42),0)</f>
        <v/>
      </c>
      <c r="D5" s="132">
        <f>IFERROR(AVERAGE(Inputs!D39:D42),0)</f>
        <v/>
      </c>
      <c r="E5" s="132">
        <f>IFERROR(AVERAGE(Inputs!E39:E42),0)</f>
        <v/>
      </c>
      <c r="F5" s="91" t="inlineStr">
        <is>
          <t>→ AVERAGE(Inputs ramp Q1..Q4)</t>
        </is>
      </c>
    </row>
    <row r="7" ht="15" customHeight="1" s="68">
      <c r="A7" s="81">
        <f>UPPER(TRIM(Inputs!A14))</f>
        <v/>
      </c>
    </row>
    <row r="8" ht="15" customHeight="1" s="68">
      <c r="A8" s="82" t="inlineStr">
        <is>
          <t>Tickets per month in this category</t>
        </is>
      </c>
      <c r="B8" s="82" t="inlineStr">
        <is>
          <t>tickets</t>
        </is>
      </c>
      <c r="C8" s="133">
        <f>Inputs!C$6*Inputs!C14</f>
        <v/>
      </c>
      <c r="D8" s="133">
        <f>Inputs!D$6*Inputs!D14</f>
        <v/>
      </c>
      <c r="E8" s="133">
        <f>Inputs!E$6*Inputs!E14</f>
        <v/>
      </c>
      <c r="F8" s="85" t="inlineStr">
        <is>
          <t>→ tickets/month × share</t>
        </is>
      </c>
    </row>
    <row r="9" ht="15" customHeight="1" s="68">
      <c r="A9" s="82" t="inlineStr">
        <is>
          <t>Automatable tickets per month</t>
        </is>
      </c>
      <c r="B9" s="82" t="inlineStr">
        <is>
          <t>tickets</t>
        </is>
      </c>
      <c r="C9" s="134">
        <f>C8*Inputs!C18</f>
        <v/>
      </c>
      <c r="D9" s="134">
        <f>D8*Inputs!D18</f>
        <v/>
      </c>
      <c r="E9" s="134">
        <f>E8*Inputs!E18</f>
        <v/>
      </c>
      <c r="F9" s="85" t="inlineStr">
        <is>
          <t>× automatable share</t>
        </is>
      </c>
    </row>
    <row r="10" ht="15" customHeight="1" s="68">
      <c r="A10" s="82" t="inlineStr">
        <is>
          <t>Deflected per month at steady state (if in scope)</t>
        </is>
      </c>
      <c r="B10" s="82" t="inlineStr">
        <is>
          <t>tickets</t>
        </is>
      </c>
      <c r="C10" s="134">
        <f>C9*Inputs!C22*Inputs!C34</f>
        <v/>
      </c>
      <c r="D10" s="134">
        <f>D9*Inputs!D22*Inputs!D34</f>
        <v/>
      </c>
      <c r="E10" s="134">
        <f>E9*Inputs!E22*Inputs!E34</f>
        <v/>
      </c>
      <c r="F10" s="85" t="inlineStr">
        <is>
          <t>× deflection realised × include flag</t>
        </is>
      </c>
    </row>
    <row r="11" ht="15" customHeight="1" s="68">
      <c r="A11" s="82" t="inlineStr">
        <is>
          <t>Deflected in year 1, with the adoption ramp</t>
        </is>
      </c>
      <c r="B11" s="82" t="inlineStr">
        <is>
          <t>tickets / yr</t>
        </is>
      </c>
      <c r="C11" s="134">
        <f>C10*12*C$5</f>
        <v/>
      </c>
      <c r="D11" s="134">
        <f>D10*12*D$5</f>
        <v/>
      </c>
      <c r="E11" s="134">
        <f>E10*12*E$5</f>
        <v/>
      </c>
      <c r="F11" s="85" t="inlineStr">
        <is>
          <t>× 12 × year-1 adoption factor</t>
        </is>
      </c>
    </row>
    <row r="12" ht="15" customHeight="1" s="68">
      <c r="A12" s="82" t="inlineStr">
        <is>
          <t>Gross value — human work avoided</t>
        </is>
      </c>
      <c r="B12" s="82" t="inlineStr">
        <is>
          <t>€ / yr</t>
        </is>
      </c>
      <c r="C12" s="135">
        <f>C11*Inputs!C$9</f>
        <v/>
      </c>
      <c r="D12" s="135">
        <f>D11*Inputs!D$9</f>
        <v/>
      </c>
      <c r="E12" s="135">
        <f>E11*Inputs!E$9</f>
        <v/>
      </c>
      <c r="F12" s="85" t="inlineStr">
        <is>
          <t>× fully loaded cost of a human ticket</t>
        </is>
      </c>
    </row>
    <row r="13" ht="15" customHeight="1" s="68">
      <c r="A13" s="82" t="inlineStr">
        <is>
          <t>Expected cost of wrong answers</t>
        </is>
      </c>
      <c r="B13" s="82" t="inlineStr">
        <is>
          <t>€ / yr</t>
        </is>
      </c>
      <c r="C13" s="135">
        <f>C11*Inputs!C26*Inputs!C30</f>
        <v/>
      </c>
      <c r="D13" s="135">
        <f>D11*Inputs!D26*Inputs!D30</f>
        <v/>
      </c>
      <c r="E13" s="135">
        <f>E11*Inputs!E26*Inputs!E30</f>
        <v/>
      </c>
      <c r="F13" s="85" t="inlineStr">
        <is>
          <t>deflected × error rate × cost of one wrong answer — the tail, priced</t>
        </is>
      </c>
    </row>
    <row r="14" ht="15" customHeight="1" s="68">
      <c r="A14" s="82" t="inlineStr">
        <is>
          <t>AI handling cost (tokens, retries)</t>
        </is>
      </c>
      <c r="B14" s="82" t="inlineStr">
        <is>
          <t>€ / yr</t>
        </is>
      </c>
      <c r="C14" s="135">
        <f>C11*Inputs!C$45*Inputs!C$46</f>
        <v/>
      </c>
      <c r="D14" s="135">
        <f>D11*Inputs!D$45*Inputs!D$46</f>
        <v/>
      </c>
      <c r="E14" s="135">
        <f>E11*Inputs!E$45*Inputs!E$46</f>
        <v/>
      </c>
      <c r="F14" s="85" t="inlineStr">
        <is>
          <t>deflected × cost per conversation × retry overhead</t>
        </is>
      </c>
    </row>
    <row r="15" ht="15" customHeight="1" s="68">
      <c r="A15" s="87" t="inlineStr">
        <is>
          <t>Net contribution of this category</t>
        </is>
      </c>
      <c r="B15" s="82" t="inlineStr">
        <is>
          <t>€ / yr</t>
        </is>
      </c>
      <c r="C15" s="136">
        <f>C12-C13-C14</f>
        <v/>
      </c>
      <c r="D15" s="136">
        <f>D12-D13-D14</f>
        <v/>
      </c>
      <c r="E15" s="136">
        <f>E12-E13-E14</f>
        <v/>
      </c>
      <c r="F15" s="85" t="inlineStr">
        <is>
          <t>gross − error cost − AI cost</t>
        </is>
      </c>
    </row>
    <row r="17" ht="15" customHeight="1" s="68">
      <c r="A17" s="81">
        <f>UPPER(TRIM(Inputs!A15))</f>
        <v/>
      </c>
    </row>
    <row r="18" ht="15" customHeight="1" s="68">
      <c r="A18" s="82" t="inlineStr">
        <is>
          <t>Tickets per month in this category</t>
        </is>
      </c>
      <c r="B18" s="82" t="inlineStr">
        <is>
          <t>tickets</t>
        </is>
      </c>
      <c r="C18" s="133">
        <f>Inputs!C$6*Inputs!C15</f>
        <v/>
      </c>
      <c r="D18" s="133">
        <f>Inputs!D$6*Inputs!D15</f>
        <v/>
      </c>
      <c r="E18" s="133">
        <f>Inputs!E$6*Inputs!E15</f>
        <v/>
      </c>
      <c r="F18" s="85" t="inlineStr">
        <is>
          <t>→ tickets/month × share</t>
        </is>
      </c>
    </row>
    <row r="19" ht="15" customHeight="1" s="68">
      <c r="A19" s="82" t="inlineStr">
        <is>
          <t>Automatable tickets per month</t>
        </is>
      </c>
      <c r="B19" s="82" t="inlineStr">
        <is>
          <t>tickets</t>
        </is>
      </c>
      <c r="C19" s="134">
        <f>C18*Inputs!C19</f>
        <v/>
      </c>
      <c r="D19" s="134">
        <f>D18*Inputs!D19</f>
        <v/>
      </c>
      <c r="E19" s="134">
        <f>E18*Inputs!E19</f>
        <v/>
      </c>
      <c r="F19" s="85" t="inlineStr">
        <is>
          <t>× automatable share</t>
        </is>
      </c>
    </row>
    <row r="20" ht="15" customHeight="1" s="68">
      <c r="A20" s="82" t="inlineStr">
        <is>
          <t>Deflected per month at steady state (if in scope)</t>
        </is>
      </c>
      <c r="B20" s="82" t="inlineStr">
        <is>
          <t>tickets</t>
        </is>
      </c>
      <c r="C20" s="134">
        <f>C19*Inputs!C23*Inputs!C35</f>
        <v/>
      </c>
      <c r="D20" s="134">
        <f>D19*Inputs!D23*Inputs!D35</f>
        <v/>
      </c>
      <c r="E20" s="134">
        <f>E19*Inputs!E23*Inputs!E35</f>
        <v/>
      </c>
      <c r="F20" s="85" t="inlineStr">
        <is>
          <t>× deflection realised × include flag</t>
        </is>
      </c>
    </row>
    <row r="21" ht="15" customHeight="1" s="68">
      <c r="A21" s="82" t="inlineStr">
        <is>
          <t>Deflected in year 1, with the adoption ramp</t>
        </is>
      </c>
      <c r="B21" s="82" t="inlineStr">
        <is>
          <t>tickets / yr</t>
        </is>
      </c>
      <c r="C21" s="134">
        <f>C20*12*C$5</f>
        <v/>
      </c>
      <c r="D21" s="134">
        <f>D20*12*D$5</f>
        <v/>
      </c>
      <c r="E21" s="134">
        <f>E20*12*E$5</f>
        <v/>
      </c>
      <c r="F21" s="85" t="inlineStr">
        <is>
          <t>× 12 × year-1 adoption factor</t>
        </is>
      </c>
    </row>
    <row r="22" ht="15" customHeight="1" s="68">
      <c r="A22" s="82" t="inlineStr">
        <is>
          <t>Gross value — human work avoided</t>
        </is>
      </c>
      <c r="B22" s="82" t="inlineStr">
        <is>
          <t>€ / yr</t>
        </is>
      </c>
      <c r="C22" s="135">
        <f>C21*Inputs!C$9</f>
        <v/>
      </c>
      <c r="D22" s="135">
        <f>D21*Inputs!D$9</f>
        <v/>
      </c>
      <c r="E22" s="135">
        <f>E21*Inputs!E$9</f>
        <v/>
      </c>
      <c r="F22" s="85" t="inlineStr">
        <is>
          <t>× fully loaded cost of a human ticket</t>
        </is>
      </c>
    </row>
    <row r="23" ht="15" customHeight="1" s="68">
      <c r="A23" s="82" t="inlineStr">
        <is>
          <t>Expected cost of wrong answers</t>
        </is>
      </c>
      <c r="B23" s="82" t="inlineStr">
        <is>
          <t>€ / yr</t>
        </is>
      </c>
      <c r="C23" s="135">
        <f>C21*Inputs!C27*Inputs!C31</f>
        <v/>
      </c>
      <c r="D23" s="135">
        <f>D21*Inputs!D27*Inputs!D31</f>
        <v/>
      </c>
      <c r="E23" s="135">
        <f>E21*Inputs!E27*Inputs!E31</f>
        <v/>
      </c>
      <c r="F23" s="85" t="inlineStr">
        <is>
          <t>deflected × error rate × cost of one wrong answer — the tail, priced</t>
        </is>
      </c>
    </row>
    <row r="24" ht="15" customHeight="1" s="68">
      <c r="A24" s="82" t="inlineStr">
        <is>
          <t>AI handling cost (tokens, retries)</t>
        </is>
      </c>
      <c r="B24" s="82" t="inlineStr">
        <is>
          <t>€ / yr</t>
        </is>
      </c>
      <c r="C24" s="135">
        <f>C21*Inputs!C$45*Inputs!C$46</f>
        <v/>
      </c>
      <c r="D24" s="135">
        <f>D21*Inputs!D$45*Inputs!D$46</f>
        <v/>
      </c>
      <c r="E24" s="135">
        <f>E21*Inputs!E$45*Inputs!E$46</f>
        <v/>
      </c>
      <c r="F24" s="85" t="inlineStr">
        <is>
          <t>deflected × cost per conversation × retry overhead</t>
        </is>
      </c>
    </row>
    <row r="25" ht="15" customHeight="1" s="68">
      <c r="A25" s="87" t="inlineStr">
        <is>
          <t>Net contribution of this category</t>
        </is>
      </c>
      <c r="B25" s="82" t="inlineStr">
        <is>
          <t>€ / yr</t>
        </is>
      </c>
      <c r="C25" s="136">
        <f>C22-C23-C24</f>
        <v/>
      </c>
      <c r="D25" s="136">
        <f>D22-D23-D24</f>
        <v/>
      </c>
      <c r="E25" s="136">
        <f>E22-E23-E24</f>
        <v/>
      </c>
      <c r="F25" s="85" t="inlineStr">
        <is>
          <t>gross − error cost − AI cost</t>
        </is>
      </c>
    </row>
    <row r="27" ht="15" customHeight="1" s="68">
      <c r="A27" s="81">
        <f>UPPER(TRIM(Inputs!A16))</f>
        <v/>
      </c>
    </row>
    <row r="28" ht="15" customHeight="1" s="68">
      <c r="A28" s="82" t="inlineStr">
        <is>
          <t>Tickets per month in this category</t>
        </is>
      </c>
      <c r="B28" s="82" t="inlineStr">
        <is>
          <t>tickets</t>
        </is>
      </c>
      <c r="C28" s="133">
        <f>Inputs!C$6*Inputs!C16</f>
        <v/>
      </c>
      <c r="D28" s="133">
        <f>Inputs!D$6*Inputs!D16</f>
        <v/>
      </c>
      <c r="E28" s="133">
        <f>Inputs!E$6*Inputs!E16</f>
        <v/>
      </c>
      <c r="F28" s="85" t="inlineStr">
        <is>
          <t>→ tickets/month × share</t>
        </is>
      </c>
    </row>
    <row r="29" ht="15" customHeight="1" s="68">
      <c r="A29" s="82" t="inlineStr">
        <is>
          <t>Automatable tickets per month</t>
        </is>
      </c>
      <c r="B29" s="82" t="inlineStr">
        <is>
          <t>tickets</t>
        </is>
      </c>
      <c r="C29" s="134">
        <f>C28*Inputs!C20</f>
        <v/>
      </c>
      <c r="D29" s="134">
        <f>D28*Inputs!D20</f>
        <v/>
      </c>
      <c r="E29" s="134">
        <f>E28*Inputs!E20</f>
        <v/>
      </c>
      <c r="F29" s="85" t="inlineStr">
        <is>
          <t>× automatable share</t>
        </is>
      </c>
    </row>
    <row r="30" ht="15" customHeight="1" s="68">
      <c r="A30" s="82" t="inlineStr">
        <is>
          <t>Deflected per month at steady state (if in scope)</t>
        </is>
      </c>
      <c r="B30" s="82" t="inlineStr">
        <is>
          <t>tickets</t>
        </is>
      </c>
      <c r="C30" s="134">
        <f>C29*Inputs!C24*Inputs!C36</f>
        <v/>
      </c>
      <c r="D30" s="134">
        <f>D29*Inputs!D24*Inputs!D36</f>
        <v/>
      </c>
      <c r="E30" s="134">
        <f>E29*Inputs!E24*Inputs!E36</f>
        <v/>
      </c>
      <c r="F30" s="85" t="inlineStr">
        <is>
          <t>× deflection realised × include flag</t>
        </is>
      </c>
    </row>
    <row r="31" ht="15" customHeight="1" s="68">
      <c r="A31" s="82" t="inlineStr">
        <is>
          <t>Deflected in year 1, with the adoption ramp</t>
        </is>
      </c>
      <c r="B31" s="82" t="inlineStr">
        <is>
          <t>tickets / yr</t>
        </is>
      </c>
      <c r="C31" s="134">
        <f>C30*12*C$5</f>
        <v/>
      </c>
      <c r="D31" s="134">
        <f>D30*12*D$5</f>
        <v/>
      </c>
      <c r="E31" s="134">
        <f>E30*12*E$5</f>
        <v/>
      </c>
      <c r="F31" s="85" t="inlineStr">
        <is>
          <t>× 12 × year-1 adoption factor</t>
        </is>
      </c>
    </row>
    <row r="32" ht="15" customHeight="1" s="68">
      <c r="A32" s="82" t="inlineStr">
        <is>
          <t>Gross value — human work avoided</t>
        </is>
      </c>
      <c r="B32" s="82" t="inlineStr">
        <is>
          <t>€ / yr</t>
        </is>
      </c>
      <c r="C32" s="135">
        <f>C31*Inputs!C$9</f>
        <v/>
      </c>
      <c r="D32" s="135">
        <f>D31*Inputs!D$9</f>
        <v/>
      </c>
      <c r="E32" s="135">
        <f>E31*Inputs!E$9</f>
        <v/>
      </c>
      <c r="F32" s="85" t="inlineStr">
        <is>
          <t>× fully loaded cost of a human ticket</t>
        </is>
      </c>
    </row>
    <row r="33" ht="15" customHeight="1" s="68">
      <c r="A33" s="82" t="inlineStr">
        <is>
          <t>Expected cost of wrong answers</t>
        </is>
      </c>
      <c r="B33" s="82" t="inlineStr">
        <is>
          <t>€ / yr</t>
        </is>
      </c>
      <c r="C33" s="135">
        <f>C31*Inputs!C28*Inputs!C32</f>
        <v/>
      </c>
      <c r="D33" s="135">
        <f>D31*Inputs!D28*Inputs!D32</f>
        <v/>
      </c>
      <c r="E33" s="135">
        <f>E31*Inputs!E28*Inputs!E32</f>
        <v/>
      </c>
      <c r="F33" s="85" t="inlineStr">
        <is>
          <t>deflected × error rate × cost of one wrong answer — the tail, priced</t>
        </is>
      </c>
    </row>
    <row r="34" ht="15" customHeight="1" s="68">
      <c r="A34" s="82" t="inlineStr">
        <is>
          <t>AI handling cost (tokens, retries)</t>
        </is>
      </c>
      <c r="B34" s="82" t="inlineStr">
        <is>
          <t>€ / yr</t>
        </is>
      </c>
      <c r="C34" s="135">
        <f>C31*Inputs!C$45*Inputs!C$46</f>
        <v/>
      </c>
      <c r="D34" s="135">
        <f>D31*Inputs!D$45*Inputs!D$46</f>
        <v/>
      </c>
      <c r="E34" s="135">
        <f>E31*Inputs!E$45*Inputs!E$46</f>
        <v/>
      </c>
      <c r="F34" s="85" t="inlineStr">
        <is>
          <t>deflected × cost per conversation × retry overhead</t>
        </is>
      </c>
    </row>
    <row r="35" ht="15" customHeight="1" s="68">
      <c r="A35" s="87" t="inlineStr">
        <is>
          <t>Net contribution of this category</t>
        </is>
      </c>
      <c r="B35" s="82" t="inlineStr">
        <is>
          <t>€ / yr</t>
        </is>
      </c>
      <c r="C35" s="136">
        <f>C32-C33-C34</f>
        <v/>
      </c>
      <c r="D35" s="136">
        <f>D32-D33-D34</f>
        <v/>
      </c>
      <c r="E35" s="136">
        <f>E32-E33-E34</f>
        <v/>
      </c>
      <c r="F35" s="85" t="inlineStr">
        <is>
          <t>gross − error cost − AI cost</t>
        </is>
      </c>
    </row>
    <row r="37" ht="15" customHeight="1" s="68">
      <c r="A37" s="81" t="inlineStr">
        <is>
          <t>TOTALS — ALL CATEGORIES IN SCOPE</t>
        </is>
      </c>
    </row>
    <row r="38" ht="15" customHeight="1" s="68">
      <c r="A38" s="82" t="inlineStr">
        <is>
          <t>Tickets deflected in year 1</t>
        </is>
      </c>
      <c r="B38" s="82" t="inlineStr">
        <is>
          <t>tickets / yr</t>
        </is>
      </c>
      <c r="C38" s="134">
        <f>C11+C21+C31</f>
        <v/>
      </c>
      <c r="D38" s="134">
        <f>D11+D21+D31</f>
        <v/>
      </c>
      <c r="E38" s="134">
        <f>E11+E21+E31</f>
        <v/>
      </c>
      <c r="F38" s="85" t="inlineStr">
        <is>
          <t>sum of the three categories</t>
        </is>
      </c>
    </row>
    <row r="39" ht="15" customHeight="1" s="68">
      <c r="A39" s="82" t="inlineStr">
        <is>
          <t>Gross value — human work avoided</t>
        </is>
      </c>
      <c r="B39" s="82" t="inlineStr">
        <is>
          <t>€ / yr</t>
        </is>
      </c>
      <c r="C39" s="135">
        <f>C12+C22+C32</f>
        <v/>
      </c>
      <c r="D39" s="135">
        <f>D12+D22+D32</f>
        <v/>
      </c>
      <c r="E39" s="135">
        <f>E12+E22+E32</f>
        <v/>
      </c>
      <c r="F39" s="85" t="inlineStr">
        <is>
          <t>sum of the three categories</t>
        </is>
      </c>
    </row>
    <row r="40" ht="15" customHeight="1" s="68">
      <c r="A40" s="82" t="inlineStr">
        <is>
          <t>Expected cost of wrong answers</t>
        </is>
      </c>
      <c r="B40" s="82" t="inlineStr">
        <is>
          <t>€ / yr</t>
        </is>
      </c>
      <c r="C40" s="135">
        <f>C13+C23+C33</f>
        <v/>
      </c>
      <c r="D40" s="135">
        <f>D13+D23+D33</f>
        <v/>
      </c>
      <c r="E40" s="135">
        <f>E13+E23+E33</f>
        <v/>
      </c>
      <c r="F40" s="85" t="inlineStr">
        <is>
          <t>sum of the three categories</t>
        </is>
      </c>
    </row>
    <row r="41" ht="15" customHeight="1" s="68">
      <c r="A41" s="82" t="inlineStr">
        <is>
          <t>AI handling cost</t>
        </is>
      </c>
      <c r="B41" s="82" t="inlineStr">
        <is>
          <t>€ / yr</t>
        </is>
      </c>
      <c r="C41" s="135">
        <f>C14+C24+C34</f>
        <v/>
      </c>
      <c r="D41" s="135">
        <f>D14+D24+D34</f>
        <v/>
      </c>
      <c r="E41" s="135">
        <f>E14+E24+E34</f>
        <v/>
      </c>
      <c r="F41" s="85" t="inlineStr">
        <is>
          <t>sum of the three categories</t>
        </is>
      </c>
    </row>
    <row r="42" ht="15" customHeight="1" s="68">
      <c r="A42" s="87" t="inlineStr">
        <is>
          <t>Net variable contribution (before fixed costs)</t>
        </is>
      </c>
      <c r="B42" s="82" t="inlineStr">
        <is>
          <t>€ / yr</t>
        </is>
      </c>
      <c r="C42" s="136">
        <f>C15+C25+C35</f>
        <v/>
      </c>
      <c r="D42" s="136">
        <f>D15+D25+D35</f>
        <v/>
      </c>
      <c r="E42" s="136">
        <f>E15+E25+E35</f>
        <v/>
      </c>
      <c r="F42" s="85" t="inlineStr">
        <is>
          <t>sum of the three categories</t>
        </is>
      </c>
    </row>
    <row r="44" ht="15" customHeight="1" s="68">
      <c r="A44" s="82" t="inlineStr">
        <is>
          <t>Share of all tickets deflected in year 1</t>
        </is>
      </c>
      <c r="B44" s="82" t="inlineStr">
        <is>
          <t>share</t>
        </is>
      </c>
      <c r="C44" s="137">
        <f>IF(Inputs!C6=0,0,C38/(Inputs!C6*12))</f>
        <v/>
      </c>
      <c r="D44" s="137">
        <f>IF(Inputs!D6=0,0,D38/(Inputs!D6*12))</f>
        <v/>
      </c>
      <c r="E44" s="137">
        <f>IF(Inputs!E6=0,0,E38/(Inputs!E6*12))</f>
        <v/>
      </c>
      <c r="F44" s="85" t="inlineStr">
        <is>
          <t>sanity check: the SOM in ticket terms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4" customWidth="1" style="67" min="1" max="1"/>
    <col width="12" customWidth="1" style="67" min="2" max="2"/>
    <col width="15" customWidth="1" style="67" min="3" max="5"/>
    <col width="60" customWidth="1" style="67" min="6" max="6"/>
  </cols>
  <sheetData>
    <row r="1" ht="17.25" customHeight="1" s="68">
      <c r="A1" s="77" t="inlineStr">
        <is>
          <t>02_sizing — your agent · Costs &amp; Decision</t>
        </is>
      </c>
    </row>
    <row r="2" ht="15" customHeight="1" s="68">
      <c r="A2" s="131" t="inlineStr">
        <is>
          <t>Three scenarios → expected value → two comparisons (do-nothing, hurdle). Green = links to Upside / Inputs; black = formulas.</t>
        </is>
      </c>
    </row>
    <row r="4" ht="27.75" customHeight="1" s="68">
      <c r="A4" s="79" t="inlineStr">
        <is>
          <t>Line</t>
        </is>
      </c>
      <c r="B4" s="79" t="inlineStr">
        <is>
          <t>Unit</t>
        </is>
      </c>
      <c r="C4" s="79" t="inlineStr">
        <is>
          <t>Low (pessimistic)</t>
        </is>
      </c>
      <c r="D4" s="79" t="inlineStr">
        <is>
          <t>Base</t>
        </is>
      </c>
      <c r="E4" s="79" t="inlineStr">
        <is>
          <t>High (optimistic)</t>
        </is>
      </c>
      <c r="F4" s="79" t="inlineStr">
        <is>
          <t>How it is computed</t>
        </is>
      </c>
    </row>
    <row r="5" ht="15" customHeight="1" s="68">
      <c r="A5" s="81" t="inlineStr">
        <is>
          <t>VALUE</t>
        </is>
      </c>
    </row>
    <row r="6" ht="15" customHeight="1" s="68">
      <c r="A6" s="82" t="inlineStr">
        <is>
          <t>Net variable contribution (Upside) + other value (Inputs rows 67–68)</t>
        </is>
      </c>
      <c r="B6" s="82" t="inlineStr">
        <is>
          <t>€ / yr</t>
        </is>
      </c>
      <c r="C6" s="138">
        <f>Upside!C42+N(Inputs!C67)+N(Inputs!C68)</f>
        <v/>
      </c>
      <c r="D6" s="138">
        <f>Upside!D42+N(Inputs!D67)+N(Inputs!D68)</f>
        <v/>
      </c>
      <c r="E6" s="138">
        <f>Upside!E42+N(Inputs!E67)+N(Inputs!E68)</f>
        <v/>
      </c>
      <c r="F6" s="85" t="inlineStr">
        <is>
          <t>gross − error cost − AI cost, all categories in scope</t>
        </is>
      </c>
    </row>
    <row r="8" ht="15" customHeight="1" s="68">
      <c r="A8" s="81" t="inlineStr">
        <is>
          <t>FIXED AND SEMI-FIXED COSTS</t>
        </is>
      </c>
    </row>
    <row r="9" ht="15" customHeight="1" s="68">
      <c r="A9" s="82" t="inlineStr">
        <is>
          <t>Integration, amortised</t>
        </is>
      </c>
      <c r="B9" s="82" t="inlineStr">
        <is>
          <t>€ / yr</t>
        </is>
      </c>
      <c r="C9" s="138">
        <f>IFERROR(Inputs!C49/Inputs!C50,0)</f>
        <v/>
      </c>
      <c r="D9" s="138">
        <f>IFERROR(Inputs!D49/Inputs!D50,0)</f>
        <v/>
      </c>
      <c r="E9" s="138">
        <f>IFERROR(Inputs!E49/Inputs!E50,0)</f>
        <v/>
      </c>
      <c r="F9" s="85" t="inlineStr">
        <is>
          <t>one-off ÷ amortisation years</t>
        </is>
      </c>
    </row>
    <row r="10" ht="15" customHeight="1" s="68">
      <c r="A10" s="82" t="inlineStr">
        <is>
          <t>Evaluation — eval-set and graders</t>
        </is>
      </c>
      <c r="B10" s="82" t="inlineStr">
        <is>
          <t>€ / yr</t>
        </is>
      </c>
      <c r="C10" s="138">
        <f>Inputs!C51</f>
        <v/>
      </c>
      <c r="D10" s="138">
        <f>Inputs!D51</f>
        <v/>
      </c>
      <c r="E10" s="138">
        <f>Inputs!E51</f>
        <v/>
      </c>
      <c r="F10" s="85" t="n"/>
    </row>
    <row r="11" ht="15" customHeight="1" s="68">
      <c r="A11" s="82" t="inlineStr">
        <is>
          <t>Supervision — humans in the loop</t>
        </is>
      </c>
      <c r="B11" s="82" t="inlineStr">
        <is>
          <t>€ / yr</t>
        </is>
      </c>
      <c r="C11" s="138">
        <f>Inputs!C52*Inputs!C53</f>
        <v/>
      </c>
      <c r="D11" s="138">
        <f>Inputs!D52*Inputs!D53</f>
        <v/>
      </c>
      <c r="E11" s="138">
        <f>Inputs!E52*Inputs!E53</f>
        <v/>
      </c>
      <c r="F11" s="85" t="inlineStr">
        <is>
          <t>FTE × cost per FTE</t>
        </is>
      </c>
    </row>
    <row r="12" ht="15" customHeight="1" s="68">
      <c r="A12" s="82" t="inlineStr">
        <is>
          <t>Monitoring and on-call</t>
        </is>
      </c>
      <c r="B12" s="82" t="inlineStr">
        <is>
          <t>€ / yr</t>
        </is>
      </c>
      <c r="C12" s="138">
        <f>Inputs!C54</f>
        <v/>
      </c>
      <c r="D12" s="138">
        <f>Inputs!D54</f>
        <v/>
      </c>
      <c r="E12" s="138">
        <f>Inputs!E54</f>
        <v/>
      </c>
      <c r="F12" s="85" t="n"/>
    </row>
    <row r="13" ht="15" customHeight="1" s="68">
      <c r="A13" s="82" t="inlineStr">
        <is>
          <t>Re-evaluation at model changes</t>
        </is>
      </c>
      <c r="B13" s="82" t="inlineStr">
        <is>
          <t>€ / yr</t>
        </is>
      </c>
      <c r="C13" s="138">
        <f>Inputs!C55*Inputs!C56</f>
        <v/>
      </c>
      <c r="D13" s="138">
        <f>Inputs!D55*Inputs!D56</f>
        <v/>
      </c>
      <c r="E13" s="138">
        <f>Inputs!E55*Inputs!E56</f>
        <v/>
      </c>
      <c r="F13" s="85" t="inlineStr">
        <is>
          <t>changes per year × cost per change</t>
        </is>
      </c>
    </row>
    <row r="14" ht="15" customHeight="1" s="68">
      <c r="A14" s="87" t="inlineStr">
        <is>
          <t>Total fixed and semi-fixed</t>
        </is>
      </c>
      <c r="B14" s="82" t="inlineStr">
        <is>
          <t>€ / yr</t>
        </is>
      </c>
      <c r="C14" s="136">
        <f>SUM(C9:C13)</f>
        <v/>
      </c>
      <c r="D14" s="136">
        <f>SUM(D9:D13)</f>
        <v/>
      </c>
      <c r="E14" s="136">
        <f>SUM(E9:E13)</f>
        <v/>
      </c>
      <c r="F14" s="85" t="n"/>
    </row>
    <row r="16" ht="15" customHeight="1" s="68">
      <c r="A16" s="81" t="inlineStr">
        <is>
          <t>NET ANNUAL VALUE AND EXPECTED VALUE</t>
        </is>
      </c>
    </row>
    <row r="17" ht="15" customHeight="1" s="68">
      <c r="A17" s="87" t="inlineStr">
        <is>
          <t>Net annual value of the project, year 1</t>
        </is>
      </c>
      <c r="B17" s="82" t="inlineStr">
        <is>
          <t>€ / yr</t>
        </is>
      </c>
      <c r="C17" s="136">
        <f>C6-C14</f>
        <v/>
      </c>
      <c r="D17" s="136">
        <f>D6-D14</f>
        <v/>
      </c>
      <c r="E17" s="136">
        <f>E6-E14</f>
        <v/>
      </c>
      <c r="F17" s="85" t="inlineStr">
        <is>
          <t>net variable contribution − fixed costs</t>
        </is>
      </c>
    </row>
    <row r="18" ht="15" customHeight="1" s="68">
      <c r="A18" s="82" t="inlineStr">
        <is>
          <t>Scenario probability</t>
        </is>
      </c>
      <c r="B18" s="82" t="inlineStr">
        <is>
          <t>p</t>
        </is>
      </c>
      <c r="C18" s="139">
        <f>Inputs!C63</f>
        <v/>
      </c>
      <c r="D18" s="139">
        <f>Inputs!D63</f>
        <v/>
      </c>
      <c r="E18" s="139">
        <f>Inputs!E63</f>
        <v/>
      </c>
      <c r="F18" s="85" t="inlineStr">
        <is>
          <t>from Inputs</t>
        </is>
      </c>
    </row>
    <row r="19" ht="15" customHeight="1" s="68">
      <c r="A19" s="87" t="inlineStr">
        <is>
          <t>Expected value (Σ p × net value)</t>
        </is>
      </c>
      <c r="B19" s="67" t="inlineStr">
        <is>
          <t>€ / yr</t>
        </is>
      </c>
      <c r="D19" s="140">
        <f>SUMPRODUCT(C17:E17,C18:E18)</f>
        <v/>
      </c>
      <c r="F19" s="91" t="inlineStr">
        <is>
          <t>the single number — but read the three above it first</t>
        </is>
      </c>
    </row>
    <row r="21" ht="15" customHeight="1" s="68">
      <c r="A21" s="81" t="inlineStr">
        <is>
          <t>THE TWO COMPARISONS</t>
        </is>
      </c>
    </row>
    <row r="22" ht="15" customHeight="1" s="68">
      <c r="A22" s="82" t="inlineStr">
        <is>
          <t>Do-nothing: value of the current process improving on its own</t>
        </is>
      </c>
      <c r="B22" s="82" t="inlineStr">
        <is>
          <t>€ / yr</t>
        </is>
      </c>
      <c r="C22" s="138">
        <f>Inputs!C59*Inputs!C6*12*Inputs!C9</f>
        <v/>
      </c>
      <c r="D22" s="138">
        <f>Inputs!D59*Inputs!D6*12*Inputs!D9</f>
        <v/>
      </c>
      <c r="E22" s="138">
        <f>Inputs!E59*Inputs!E6*12*Inputs!E9</f>
        <v/>
      </c>
      <c r="F22" s="85" t="inlineStr">
        <is>
          <t>efficiency gain × annual tickets × cost per ticket — not zero</t>
        </is>
      </c>
    </row>
    <row r="23" ht="15" customHeight="1" s="68">
      <c r="A23" s="82" t="inlineStr">
        <is>
          <t>Next-best project (the hurdle)</t>
        </is>
      </c>
      <c r="B23" s="82" t="inlineStr">
        <is>
          <t>€ / yr</t>
        </is>
      </c>
      <c r="C23" s="138">
        <f>Inputs!C60</f>
        <v/>
      </c>
      <c r="D23" s="138">
        <f>Inputs!D60</f>
        <v/>
      </c>
      <c r="E23" s="138">
        <f>Inputs!E60</f>
        <v/>
      </c>
      <c r="F23" s="85" t="inlineStr">
        <is>
          <t>from Inputs</t>
        </is>
      </c>
    </row>
    <row r="24" ht="15" customHeight="1" s="68">
      <c r="A24" s="82" t="inlineStr">
        <is>
          <t>EV minus do-nothing</t>
        </is>
      </c>
      <c r="B24" s="67" t="inlineStr">
        <is>
          <t>€ / yr</t>
        </is>
      </c>
      <c r="D24" s="135">
        <f>D19-D22</f>
        <v/>
      </c>
    </row>
    <row r="25" ht="15" customHeight="1" s="68">
      <c r="A25" s="82" t="inlineStr">
        <is>
          <t>EV minus hurdle</t>
        </is>
      </c>
      <c r="B25" s="67" t="inlineStr">
        <is>
          <t>€ / yr</t>
        </is>
      </c>
      <c r="D25" s="135">
        <f>D19-D23</f>
        <v/>
      </c>
    </row>
    <row r="26" ht="15" customHeight="1" s="68">
      <c r="A26" s="82" t="inlineStr">
        <is>
          <t>Pessimistic case clears the hurdle?</t>
        </is>
      </c>
      <c r="D26" s="141">
        <f>IF(C17&gt;=C23,"yes","no")</f>
        <v/>
      </c>
    </row>
    <row r="27" ht="31.5" customHeight="1" s="68">
      <c r="A27" s="87" t="inlineStr">
        <is>
          <t>Decision (formula — you still write the memo)</t>
        </is>
      </c>
      <c r="D27" s="142">
        <f>IF(Inputs!D6="","— fill in the Inputs tab first —",IF(ABS(Inputs!D64-1)&gt;0.001,"— scenario probabilities must sum to 1 —",IF(D19&lt;D22,"NO-GO — does not beat do-nothing",IF(D19&lt;D23,"NO-GO — does not beat the next-best project",IF(C17&lt;D23,"CONDITIONAL GO — EV clears the hurdle, the pessimistic case does not: test the deflection assumption first","GO")))))</f>
        <v/>
      </c>
    </row>
    <row r="29" ht="15" customHeight="1" s="68">
      <c r="A29" s="81" t="inlineStr">
        <is>
          <t>SENSITIVITY — the assumption that flips the decision</t>
        </is>
      </c>
    </row>
    <row r="30" ht="15" customHeight="1" s="68">
      <c r="A30" s="131" t="inlineStr">
        <is>
          <t>Base case, varying the total share of handling time saved (all categories). Everything else at Base; error and AI cost are per ticket handled, so they do not move.</t>
        </is>
      </c>
    </row>
    <row r="31" ht="27.75" customHeight="1" s="68">
      <c r="A31" s="79" t="inlineStr">
        <is>
          <t>Total time saved (share of handling time)</t>
        </is>
      </c>
      <c r="B31" s="79" t="n"/>
      <c r="C31" s="79" t="inlineStr">
        <is>
          <t>Net annual value</t>
        </is>
      </c>
      <c r="D31" s="79" t="inlineStr">
        <is>
          <t>vs hurdle</t>
        </is>
      </c>
      <c r="E31" s="79" t="inlineStr">
        <is>
          <t>vs do-nothing</t>
        </is>
      </c>
      <c r="F31" s="79" t="inlineStr">
        <is>
          <t>Reading</t>
        </is>
      </c>
    </row>
    <row r="32" ht="15" customHeight="1" s="68">
      <c r="A32" s="143" t="n">
        <v>0.1</v>
      </c>
      <c r="C32" s="135">
        <f>Inputs!D6*12*Upside!D$5*A32*Inputs!D$9-Upside!D40-Upside!D41-D14+N(Inputs!$D$67)+N(Inputs!$D$68)</f>
        <v/>
      </c>
      <c r="D32" s="135">
        <f>C32-D23</f>
        <v/>
      </c>
      <c r="E32" s="135">
        <f>C32-D22</f>
        <v/>
      </c>
      <c r="F32" s="82">
        <f>IF(Inputs!D6="","",IF(C32&lt;D22,"below do-nothing",IF(C32&lt;D23,"below the hurdle — the next-best project wins","clears the hurdle")))</f>
        <v/>
      </c>
    </row>
    <row r="33" ht="15" customHeight="1" s="68">
      <c r="A33" s="143" t="n">
        <v>0.15</v>
      </c>
      <c r="C33" s="135">
        <f>Inputs!D6*12*Upside!D$5*A33*Inputs!D$9-Upside!D40-Upside!D41-D14+N(Inputs!$D$67)+N(Inputs!$D$68)</f>
        <v/>
      </c>
      <c r="D33" s="135">
        <f>C33-D23</f>
        <v/>
      </c>
      <c r="E33" s="135">
        <f>C33-D22</f>
        <v/>
      </c>
      <c r="F33" s="82">
        <f>IF(Inputs!D6="","",IF(C33&lt;D22,"below do-nothing",IF(C33&lt;D23,"below the hurdle — the next-best project wins","clears the hurdle")))</f>
        <v/>
      </c>
    </row>
    <row r="34" ht="15" customHeight="1" s="68">
      <c r="A34" s="143" t="n">
        <v>0.2</v>
      </c>
      <c r="C34" s="135">
        <f>Inputs!D6*12*Upside!D$5*A34*Inputs!D$9-Upside!D40-Upside!D41-D14+N(Inputs!$D$67)+N(Inputs!$D$68)</f>
        <v/>
      </c>
      <c r="D34" s="135">
        <f>C34-D23</f>
        <v/>
      </c>
      <c r="E34" s="135">
        <f>C34-D22</f>
        <v/>
      </c>
      <c r="F34" s="82">
        <f>IF(Inputs!D6="","",IF(C34&lt;D22,"below do-nothing",IF(C34&lt;D23,"below the hurdle — the next-best project wins","clears the hurdle")))</f>
        <v/>
      </c>
    </row>
    <row r="35" ht="15" customHeight="1" s="68">
      <c r="A35" s="143" t="n">
        <v>0.25</v>
      </c>
      <c r="C35" s="135">
        <f>Inputs!D6*12*Upside!D$5*A35*Inputs!D$9-Upside!D40-Upside!D41-D14+N(Inputs!$D$67)+N(Inputs!$D$68)</f>
        <v/>
      </c>
      <c r="D35" s="135">
        <f>C35-D23</f>
        <v/>
      </c>
      <c r="E35" s="135">
        <f>C35-D22</f>
        <v/>
      </c>
      <c r="F35" s="82">
        <f>IF(Inputs!D6="","",IF(C35&lt;D22,"below do-nothing",IF(C35&lt;D23,"below the hurdle — the next-best project wins","clears the hurdle")))</f>
        <v/>
      </c>
    </row>
    <row r="36" ht="15" customHeight="1" s="68">
      <c r="A36" s="143" t="n">
        <v>0.3</v>
      </c>
      <c r="C36" s="135">
        <f>Inputs!D6*12*Upside!D$5*A36*Inputs!D$9-Upside!D40-Upside!D41-D14+N(Inputs!$D$67)+N(Inputs!$D$68)</f>
        <v/>
      </c>
      <c r="D36" s="135">
        <f>C36-D23</f>
        <v/>
      </c>
      <c r="E36" s="135">
        <f>C36-D22</f>
        <v/>
      </c>
      <c r="F36" s="82">
        <f>IF(Inputs!D6="","",IF(C36&lt;D22,"below do-nothing",IF(C36&lt;D23,"below the hurdle — the next-best project wins","clears the hurdle")))</f>
        <v/>
      </c>
    </row>
    <row r="38" ht="27.75" customHeight="1" s="68">
      <c r="A38" s="131" t="inlineStr">
        <is>
          <t>Read down the table: the time-saved share at which the reading changes is the flip point. Name it in the memo - the S4 prototype and S6 A/B must measure it.</t>
        </is>
      </c>
    </row>
    <row r="40">
      <c r="A40" s="114" t="inlineStr">
        <is>
          <t>NOT IN THE TEMPLATE - additional readings used in the memo (the formula above stays as the course defines it)</t>
        </is>
      </c>
    </row>
    <row r="41">
      <c r="A41" t="inlineStr">
        <is>
          <t>Base-case net annual value, year 1, above zero?</t>
        </is>
      </c>
      <c r="D41">
        <f>IF(D17&gt;0,"yes","no")</f>
        <v/>
      </c>
    </row>
    <row r="42">
      <c r="A42" t="inlineStr">
        <is>
          <t>Expected value above zero and above the next-best project?</t>
        </is>
      </c>
      <c r="D42">
        <f>IF(AND(D19&gt;0,D19&gt;D23),"yes","no")</f>
        <v/>
      </c>
    </row>
    <row r="43">
      <c r="A43" t="inlineStr">
        <is>
          <t>Base-case net value at steady-state adoption (Q4 level held for a full year)</t>
        </is>
      </c>
      <c r="B43" t="inlineStr">
        <is>
          <t>EUR / yr</t>
        </is>
      </c>
      <c r="D43" s="127">
        <f>(Upside!D42+N(Inputs!D67))/Upside!D5*Inputs!D42-D14</f>
        <v/>
      </c>
      <c r="F43" t="inlineStr">
        <is>
          <t>Variable contribution and hand-overs scaled from the year-1 average ramp to the Q4 ramp, minus fixed costs. Year 1 carries the ramp-up; later years do not.</t>
        </is>
      </c>
    </row>
  </sheetData>
  <mergeCells count="2">
    <mergeCell ref="A38:F38"/>
    <mergeCell ref="D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67" min="1" max="1"/>
    <col width="70" customWidth="1" style="67" min="2" max="2"/>
    <col width="11" customWidth="1" style="67" min="3" max="5"/>
    <col width="13" customWidth="1" style="67" min="6" max="6"/>
    <col width="60" customWidth="1" style="67" min="7" max="7"/>
  </cols>
  <sheetData>
    <row r="1" ht="17.25" customHeight="1" s="68">
      <c r="A1" s="77" t="inlineStr">
        <is>
          <t>02_sizing — your agent · Build, buy or orchestrate?</t>
        </is>
      </c>
      <c r="B1" s="144" t="n"/>
      <c r="C1" s="144" t="n"/>
      <c r="D1" s="144" t="n"/>
      <c r="E1" s="144" t="n"/>
      <c r="F1" s="144" t="n"/>
      <c r="G1" s="144" t="n"/>
    </row>
    <row r="2" ht="31.5" customHeight="1" s="68">
      <c r="A2" s="76" t="inlineStr">
        <is>
          <t>Score each option from 1 (bad) to 5 (good) on each question, weight what matters to your company (weights sum to 100 %). Then write one line in the memo — “We orchestrate because…” — and the condition that would change it. See the build / buy / orchestrate slides of Session 2 (39–40).</t>
        </is>
      </c>
    </row>
    <row r="3" ht="15" customHeight="1" s="68">
      <c r="A3" s="144" t="n"/>
      <c r="B3" s="144" t="n"/>
      <c r="C3" s="144" t="n"/>
      <c r="D3" s="144" t="n"/>
      <c r="E3" s="144" t="n"/>
      <c r="F3" s="144" t="n"/>
      <c r="G3" s="144" t="n"/>
    </row>
    <row r="4" ht="15" customHeight="1" s="68">
      <c r="A4" s="145" t="inlineStr">
        <is>
          <t>#</t>
        </is>
      </c>
      <c r="B4" s="145" t="inlineStr">
        <is>
          <t>Question</t>
        </is>
      </c>
      <c r="C4" s="145" t="inlineStr">
        <is>
          <t>Weight</t>
        </is>
      </c>
      <c r="D4" s="145" t="inlineStr">
        <is>
          <t>Build</t>
        </is>
      </c>
      <c r="E4" s="145" t="inlineStr">
        <is>
          <t>Buy</t>
        </is>
      </c>
      <c r="F4" s="145" t="inlineStr">
        <is>
          <t>Orchestrate</t>
        </is>
      </c>
      <c r="G4" s="145" t="inlineStr">
        <is>
          <t>Why — one line per score that is not obvious</t>
        </is>
      </c>
    </row>
    <row r="5" ht="30" customHeight="1" s="68">
      <c r="A5" s="146" t="inlineStr">
        <is>
          <t>01</t>
        </is>
      </c>
      <c r="B5" s="147" t="inlineStr">
        <is>
          <t>Strategy — Is it our edge? Would a competitor buying the same tool erase our advantage?</t>
        </is>
      </c>
      <c r="C5" s="148" t="n">
        <v>0.08</v>
      </c>
      <c r="D5" s="149" t="n">
        <v>4</v>
      </c>
      <c r="E5" s="149" t="n">
        <v>2</v>
      </c>
      <c r="F5" s="149" t="n">
        <v>4</v>
      </c>
      <c r="G5" s="150" t="inlineStr">
        <is>
          <t>Routing and drafting on our ledger and dispute rules are the edge; a generic vendor copilot is not.</t>
        </is>
      </c>
    </row>
    <row r="6" ht="30" customHeight="1" s="68">
      <c r="A6" s="146" t="inlineStr">
        <is>
          <t>02</t>
        </is>
      </c>
      <c r="B6" s="147" t="inlineStr">
        <is>
          <t>Strategy — Do we own data or know-how that no vendor has?</t>
        </is>
      </c>
      <c r="C6" s="148" t="n">
        <v>0.12</v>
      </c>
      <c r="D6" s="149" t="n">
        <v>5</v>
      </c>
      <c r="E6" s="149" t="n">
        <v>2</v>
      </c>
      <c r="F6" s="149" t="n">
        <v>5</v>
      </c>
      <c r="G6" s="150" t="inlineStr">
        <is>
          <t>Ledger, dispute history and desk policies are ours.</t>
        </is>
      </c>
    </row>
    <row r="7" ht="30" customHeight="1" s="68">
      <c r="A7" s="146" t="inlineStr">
        <is>
          <t>03</t>
        </is>
      </c>
      <c r="B7" s="147" t="inlineStr">
        <is>
          <t>Fit &amp; speed — Does a product already do 80 % of the job — our languages, channels, integrations?</t>
        </is>
      </c>
      <c r="C7" s="148" t="n">
        <v>0.1</v>
      </c>
      <c r="D7" s="149" t="n">
        <v>2</v>
      </c>
      <c r="E7" s="149" t="n">
        <v>4</v>
      </c>
      <c r="F7" s="149" t="n">
        <v>3</v>
      </c>
      <c r="G7" s="150" t="inlineStr">
        <is>
          <t>Vendor copilots summarise and draft but do not read our ledger or route by our desk rules out of the box.</t>
        </is>
      </c>
    </row>
    <row r="8" ht="30" customHeight="1" s="68">
      <c r="A8" s="146" t="inlineStr">
        <is>
          <t>04</t>
        </is>
      </c>
      <c r="B8" s="147" t="inlineStr">
        <is>
          <t>Fit &amp; speed — Must it be live in weeks, or can it take quarters?</t>
        </is>
      </c>
      <c r="C8" s="148" t="n">
        <v>0.08</v>
      </c>
      <c r="D8" s="149" t="n">
        <v>1</v>
      </c>
      <c r="E8" s="149" t="n">
        <v>5</v>
      </c>
      <c r="F8" s="149" t="n">
        <v>3</v>
      </c>
      <c r="G8" s="150" t="inlineStr">
        <is>
          <t>Build takes quarters; a vendor is weeks.</t>
        </is>
      </c>
    </row>
    <row r="9" ht="30" customHeight="1" s="68">
      <c r="A9" s="146" t="inlineStr">
        <is>
          <t>05</t>
        </is>
      </c>
      <c r="B9" s="147" t="inlineStr">
        <is>
          <t>Fit &amp; speed — Do we have the people to build it and to run it — evals, on-call, re-evaluation?</t>
        </is>
      </c>
      <c r="C9" s="148" t="n">
        <v>0.08</v>
      </c>
      <c r="D9" s="149" t="n">
        <v>2</v>
      </c>
      <c r="E9" s="149" t="n">
        <v>4</v>
      </c>
      <c r="F9" s="149" t="n">
        <v>3</v>
      </c>
      <c r="G9" s="150" t="inlineStr">
        <is>
          <t>We have no ML-ops team; orchestrating managed pieces lowers the run burden.</t>
        </is>
      </c>
    </row>
    <row r="10" ht="30" customHeight="1" s="68">
      <c r="A10" s="146" t="inlineStr">
        <is>
          <t>06</t>
        </is>
      </c>
      <c r="B10" s="147" t="inlineStr">
        <is>
          <t>Money — 3-year total cost: fees per resolution or per seat vs the seven cost lines of a build</t>
        </is>
      </c>
      <c r="C10" s="148" t="n">
        <v>0.12</v>
      </c>
      <c r="D10" s="149" t="n">
        <v>2</v>
      </c>
      <c r="E10" s="149" t="n">
        <v>4</v>
      </c>
      <c r="F10" s="149" t="n">
        <v>3</v>
      </c>
      <c r="G10" s="150" t="inlineStr">
        <is>
          <t>At ~25 seats a vendor is cheap; the build carries the fixed lines of the Decision tab.</t>
        </is>
      </c>
    </row>
    <row r="11" ht="30" customHeight="1" s="68">
      <c r="A11" s="146" t="inlineStr">
        <is>
          <t>07</t>
        </is>
      </c>
      <c r="B11" s="147" t="inlineStr">
        <is>
          <t>Money — At what volume does per-resolution pricing cost more than building? (break-even below)</t>
        </is>
      </c>
      <c r="C11" s="148" t="n">
        <v>0.08</v>
      </c>
      <c r="D11" s="149" t="n">
        <v>3</v>
      </c>
      <c r="E11" s="149" t="n">
        <v>4</v>
      </c>
      <c r="F11" s="149" t="n">
        <v>3</v>
      </c>
      <c r="G11" s="150" t="inlineStr">
        <is>
          <t>See break-even below.</t>
        </is>
      </c>
    </row>
    <row r="12" ht="30" customHeight="1" s="68">
      <c r="A12" s="146" t="inlineStr">
        <is>
          <t>08</t>
        </is>
      </c>
      <c r="B12" s="147" t="inlineStr">
        <is>
          <t>Risk &amp; control — Where does our data go — GDPR, residency, may the vendor train on it?</t>
        </is>
      </c>
      <c r="C12" s="148" t="n">
        <v>0.14</v>
      </c>
      <c r="D12" s="149" t="n">
        <v>5</v>
      </c>
      <c r="E12" s="149" t="n">
        <v>2</v>
      </c>
      <c r="F12" s="149" t="n">
        <v>4</v>
      </c>
      <c r="G12" s="150" t="inlineStr">
        <is>
          <t>Self-hosted keeps tickets in-house; a vendor needs EU residency and a no-training DPA to match.</t>
        </is>
      </c>
    </row>
    <row r="13" ht="30" customHeight="1" s="68">
      <c r="A13" s="146" t="inlineStr">
        <is>
          <t>09</t>
        </is>
      </c>
      <c r="B13" s="147" t="inlineStr">
        <is>
          <t>Risk &amp; control — Can we leave — exit clause, export of data, prompts and eval-sets?</t>
        </is>
      </c>
      <c r="C13" s="148" t="n">
        <v>0.08</v>
      </c>
      <c r="D13" s="149" t="n">
        <v>5</v>
      </c>
      <c r="E13" s="149" t="n">
        <v>2</v>
      </c>
      <c r="F13" s="149" t="n">
        <v>4</v>
      </c>
      <c r="G13" s="150" t="inlineStr">
        <is>
          <t>Exit: we keep prompts, gold set and model; a vendor locks the workflow.</t>
        </is>
      </c>
    </row>
    <row r="14" ht="30" customHeight="1" s="68">
      <c r="A14" s="146" t="inlineStr">
        <is>
          <t>10</t>
        </is>
      </c>
      <c r="B14" s="147" t="inlineStr">
        <is>
          <t>Risk &amp; control — Who is liable when it is wrong, and can we see why it answered — logs, evals?</t>
        </is>
      </c>
      <c r="C14" s="148" t="n">
        <v>0.12</v>
      </c>
      <c r="D14" s="149" t="n">
        <v>5</v>
      </c>
      <c r="E14" s="149" t="n">
        <v>2</v>
      </c>
      <c r="F14" s="149" t="n">
        <v>4</v>
      </c>
      <c r="G14" s="150" t="inlineStr">
        <is>
          <t>Own logs and evals vs vendor black box; liability stays with Keelpay either way.</t>
        </is>
      </c>
    </row>
    <row r="15" ht="15" customHeight="1" s="68">
      <c r="A15" s="144" t="n"/>
      <c r="B15" s="144" t="n"/>
      <c r="C15" s="144" t="n"/>
      <c r="D15" s="144" t="n"/>
      <c r="E15" s="144" t="n"/>
      <c r="F15" s="144" t="n"/>
      <c r="G15" s="144" t="n"/>
    </row>
    <row r="16" ht="15" customHeight="1" s="68">
      <c r="A16" s="144" t="n"/>
      <c r="B16" s="109" t="inlineStr">
        <is>
          <t>Weights must sum to 100 %</t>
        </is>
      </c>
      <c r="C16" s="151">
        <f>SUM(C5:C14)</f>
        <v/>
      </c>
      <c r="D16" s="144" t="n"/>
      <c r="E16" s="144" t="n"/>
      <c r="F16" s="144" t="n"/>
      <c r="G16" s="144" t="n"/>
    </row>
    <row r="17" ht="15" customHeight="1" s="68">
      <c r="A17" s="144" t="n"/>
      <c r="B17" s="152" t="inlineStr">
        <is>
          <t>Weighted score (1–5)</t>
        </is>
      </c>
      <c r="C17" s="144" t="n"/>
      <c r="D17" s="153">
        <f>IFERROR(IF(COUNT(D5:D14)=0,"",SUMPRODUCT($C$5:$C$14,D5:D14)/SUM($C$5:$C$14)),"")</f>
        <v/>
      </c>
      <c r="E17" s="153">
        <f>IFERROR(IF(COUNT(E5:E14)=0,"",SUMPRODUCT($C$5:$C$14,E5:E14)/SUM($C$5:$C$14)),"")</f>
        <v/>
      </c>
      <c r="F17" s="153">
        <f>IFERROR(IF(COUNT(F5:F14)=0,"",SUMPRODUCT($C$5:$C$14,F5:F14)/SUM($C$5:$C$14)),"")</f>
        <v/>
      </c>
      <c r="G17" s="144" t="n"/>
    </row>
    <row r="18" ht="15" customHeight="1" s="68">
      <c r="A18" s="144" t="n"/>
      <c r="B18" s="152" t="inlineStr">
        <is>
          <t>Highest weighted score</t>
        </is>
      </c>
      <c r="C18" s="144" t="n"/>
      <c r="D18" s="81">
        <f>IF(COUNT(D17:F17)=0,"— score the three options —",IF(ABS(C16-1)&gt;0.001,"— weights must sum to 100 % —",INDEX($D$4:$F$4,MATCH(MAX(D17:F17),D17:F17,0))))</f>
        <v/>
      </c>
      <c r="E18" s="144" t="n"/>
      <c r="F18" s="144" t="n"/>
      <c r="G18" s="109" t="inlineStr">
        <is>
          <t>The score informs the decision; the memo makes it. If two options are within 0.3, say which condition would decide.</t>
        </is>
      </c>
    </row>
    <row r="19" ht="15" customHeight="1" s="68">
      <c r="A19" s="144" t="n"/>
      <c r="B19" s="144" t="n"/>
      <c r="C19" s="144" t="n"/>
      <c r="D19" s="144" t="n"/>
      <c r="E19" s="144" t="n"/>
      <c r="F19" s="144" t="n"/>
      <c r="G19" s="144" t="n"/>
    </row>
    <row r="20" ht="15" customHeight="1" s="68">
      <c r="A20" s="144" t="n"/>
      <c r="B20" s="144" t="n"/>
      <c r="C20" s="144" t="n"/>
      <c r="D20" s="144" t="n"/>
      <c r="E20" s="144" t="n"/>
      <c r="F20" s="144" t="n"/>
      <c r="G20" s="144" t="n"/>
    </row>
    <row r="21" ht="15" customHeight="1" s="68">
      <c r="A21" s="81" t="inlineStr">
        <is>
          <t>BREAK-EVEN — buying per resolution vs running it yourself (base case, rough)</t>
        </is>
      </c>
      <c r="B21" s="144" t="n"/>
      <c r="C21" s="144" t="n"/>
      <c r="D21" s="144" t="n"/>
      <c r="E21" s="144" t="n"/>
      <c r="F21" s="144" t="n"/>
      <c r="G21" s="144" t="n"/>
    </row>
    <row r="22" ht="15" customHeight="1" s="68">
      <c r="A22" s="144" t="n"/>
      <c r="B22" s="154" t="inlineStr">
        <is>
          <t>Vendor price per resolution</t>
        </is>
      </c>
      <c r="C22" s="144" t="n"/>
      <c r="D22" s="155">
        <f>25*45*12/Upside!D38</f>
        <v/>
      </c>
      <c r="E22" s="156" t="inlineStr">
        <is>
          <t>EUR / resolution</t>
        </is>
      </c>
      <c r="F22" s="144" t="n"/>
      <c r="G22" s="109" t="inlineStr">
        <is>
          <t>Per-seat pricing expressed per time-saved-equivalent ticket: 25 seats x about EUR 45 a month (guess; vendor copilots are priced per seat; template tip: Intercom Fin listed $0.99 per resolution in 2025). Recheck the vendor price.</t>
        </is>
      </c>
    </row>
    <row r="23" ht="15" customHeight="1" s="68">
      <c r="A23" s="144" t="n"/>
      <c r="B23" s="154" t="inlineStr">
        <is>
          <t>Tickets deflected in year 1 (base)</t>
        </is>
      </c>
      <c r="C23" s="144" t="n"/>
      <c r="D23" s="157">
        <f>Upside!D38</f>
        <v/>
      </c>
      <c r="E23" s="156" t="inlineStr">
        <is>
          <t>tickets / yr</t>
        </is>
      </c>
      <c r="F23" s="144" t="n"/>
      <c r="G23" s="109" t="inlineStr">
        <is>
          <t>from Upside</t>
        </is>
      </c>
    </row>
    <row r="24" ht="15" customHeight="1" s="68">
      <c r="A24" s="144" t="n"/>
      <c r="B24" s="152" t="inlineStr">
        <is>
          <t>Annual vendor fees</t>
        </is>
      </c>
      <c r="C24" s="144" t="n"/>
      <c r="D24" s="158">
        <f>IFERROR(D22*D23,0)</f>
        <v/>
      </c>
      <c r="E24" s="156" t="inlineStr">
        <is>
          <t>€ / yr</t>
        </is>
      </c>
      <c r="F24" s="144" t="n"/>
      <c r="G24" s="109" t="inlineStr">
        <is>
          <t>price × resolutions</t>
        </is>
      </c>
    </row>
    <row r="25" ht="15" customHeight="1" s="68">
      <c r="A25" s="144" t="n"/>
      <c r="B25" s="154" t="inlineStr">
        <is>
          <t>Your own AI handling cost (tokens, retries)</t>
        </is>
      </c>
      <c r="C25" s="144" t="n"/>
      <c r="D25" s="157">
        <f>Upside!D41</f>
        <v/>
      </c>
      <c r="E25" s="156" t="inlineStr">
        <is>
          <t>€ / yr</t>
        </is>
      </c>
      <c r="F25" s="144" t="n"/>
      <c r="G25" s="109" t="inlineStr">
        <is>
          <t>from Upside</t>
        </is>
      </c>
    </row>
    <row r="26" ht="15" customHeight="1" s="68">
      <c r="A26" s="144" t="n"/>
      <c r="B26" s="154" t="inlineStr">
        <is>
          <t>Integration (amortised) + evaluation + re-evaluation</t>
        </is>
      </c>
      <c r="C26" s="144" t="n"/>
      <c r="D26" s="157">
        <f>Decision!D9+Decision!D10+Decision!D13</f>
        <v/>
      </c>
      <c r="E26" s="156" t="inlineStr">
        <is>
          <t>€ / yr</t>
        </is>
      </c>
      <c r="F26" s="144" t="n"/>
      <c r="G26" s="109" t="inlineStr">
        <is>
          <t>from Decision — the build-specific fixed lines</t>
        </is>
      </c>
    </row>
    <row r="27" ht="15" customHeight="1" s="68">
      <c r="A27" s="144" t="n"/>
      <c r="B27" s="152" t="inlineStr">
        <is>
          <t>Running it yourself — comparable cost</t>
        </is>
      </c>
      <c r="C27" s="144" t="n"/>
      <c r="D27" s="158">
        <f>D25+D26</f>
        <v/>
      </c>
      <c r="E27" s="156" t="inlineStr">
        <is>
          <t>€ / yr</t>
        </is>
      </c>
      <c r="F27" s="144" t="n"/>
      <c r="G27" s="109" t="inlineStr">
        <is>
          <t>supervision and monitoring stay in both options, so they are left out</t>
        </is>
      </c>
    </row>
    <row r="28" ht="15" customHeight="1" s="68">
      <c r="A28" s="144" t="n"/>
      <c r="B28" s="152" t="inlineStr">
        <is>
          <t>Buying is cheaper by</t>
        </is>
      </c>
      <c r="C28" s="144" t="n"/>
      <c r="D28" s="158">
        <f>D27-D24</f>
        <v/>
      </c>
      <c r="E28" s="156" t="inlineStr">
        <is>
          <t>€ / yr</t>
        </is>
      </c>
      <c r="F28" s="144" t="n"/>
      <c r="G28" s="109" t="inlineStr">
        <is>
          <t>negative = running it yourself is cheaper at this volume</t>
        </is>
      </c>
    </row>
    <row r="29" ht="15" customHeight="1" s="68">
      <c r="A29" s="144" t="n"/>
      <c r="B29" s="144" t="n"/>
      <c r="C29" s="144" t="n"/>
      <c r="D29" s="144" t="n"/>
      <c r="E29" s="144" t="n"/>
      <c r="F29" s="144" t="n"/>
      <c r="G29" s="144" t="n"/>
    </row>
  </sheetData>
  <mergeCells count="1">
    <mergeCell ref="A2:G2"/>
  </mergeCells>
  <dataValidations count="1">
    <dataValidation sqref="D5:F14" showDropDown="0" showInputMessage="0" showErrorMessage="0" allowBlank="1" errorTitle="1 to 5" error="Score from 1 to 5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2026-09-30T14:11:07Z</dcterms:created>
  <dcterms:modified xmlns:dcterms="http://purl.org/dc/terms/" xmlns:xsi="http://www.w3.org/2001/XMLSchema-instance" xsi:type="dcterms:W3CDTF">2026-10-30T22:48:44Z</dcterms:modified>
  <cp:revision>0</cp:revision>
</cp:coreProperties>
</file>