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Scolarite\ALBERTSCHOOL\M2\data-ai-product-to-delivery-navy\"/>
    </mc:Choice>
  </mc:AlternateContent>
  <xr:revisionPtr revIDLastSave="0" documentId="11_F839E54BB0CF718DF1706DF0F1DCD2830A2FF729" xr6:coauthVersionLast="47" xr6:coauthVersionMax="47" xr10:uidLastSave="{00000000-0000-0000-0000-000000000000}"/>
  <bookViews>
    <workbookView xWindow="-108" yWindow="-108" windowWidth="23256" windowHeight="12456" tabRatio="500" activeTab="4" xr2:uid="{00000000-000D-0000-FFFF-FFFF00000000}"/>
  </bookViews>
  <sheets>
    <sheet name="How to fill it" sheetId="1" r:id="rId1"/>
    <sheet name="Inputs" sheetId="2" r:id="rId2"/>
    <sheet name="Upside" sheetId="3" r:id="rId3"/>
    <sheet name="Decision" sheetId="4" r:id="rId4"/>
    <sheet name="Build or buy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5" l="1"/>
  <c r="D24" i="5" s="1"/>
  <c r="F17" i="5"/>
  <c r="E17" i="5"/>
  <c r="D17" i="5"/>
  <c r="D18" i="5" s="1"/>
  <c r="C16" i="5"/>
  <c r="E23" i="4"/>
  <c r="D23" i="4"/>
  <c r="C23" i="4"/>
  <c r="E22" i="4"/>
  <c r="D22" i="4"/>
  <c r="C22" i="4"/>
  <c r="E18" i="4"/>
  <c r="D18" i="4"/>
  <c r="C18" i="4"/>
  <c r="E14" i="4"/>
  <c r="E13" i="4"/>
  <c r="D13" i="4"/>
  <c r="C13" i="4"/>
  <c r="E12" i="4"/>
  <c r="D12" i="4"/>
  <c r="C12" i="4"/>
  <c r="E11" i="4"/>
  <c r="D11" i="4"/>
  <c r="C11" i="4"/>
  <c r="E10" i="4"/>
  <c r="D10" i="4"/>
  <c r="C10" i="4"/>
  <c r="E9" i="4"/>
  <c r="D9" i="4"/>
  <c r="C9" i="4"/>
  <c r="C14" i="4" s="1"/>
  <c r="E28" i="3"/>
  <c r="E29" i="3" s="1"/>
  <c r="D28" i="3"/>
  <c r="D29" i="3" s="1"/>
  <c r="C28" i="3"/>
  <c r="C29" i="3" s="1"/>
  <c r="A27" i="3"/>
  <c r="E18" i="3"/>
  <c r="E19" i="3" s="1"/>
  <c r="D18" i="3"/>
  <c r="D19" i="3" s="1"/>
  <c r="C18" i="3"/>
  <c r="C19" i="3" s="1"/>
  <c r="A17" i="3"/>
  <c r="E8" i="3"/>
  <c r="E9" i="3" s="1"/>
  <c r="D8" i="3"/>
  <c r="D9" i="3" s="1"/>
  <c r="C8" i="3"/>
  <c r="C9" i="3" s="1"/>
  <c r="A7" i="3"/>
  <c r="E5" i="3"/>
  <c r="D5" i="3"/>
  <c r="C5" i="3"/>
  <c r="D64" i="2"/>
  <c r="A36" i="2"/>
  <c r="A35" i="2"/>
  <c r="A34" i="2"/>
  <c r="A32" i="2"/>
  <c r="A31" i="2"/>
  <c r="A30" i="2"/>
  <c r="A28" i="2"/>
  <c r="A27" i="2"/>
  <c r="A26" i="2"/>
  <c r="A24" i="2"/>
  <c r="A23" i="2"/>
  <c r="A22" i="2"/>
  <c r="A20" i="2"/>
  <c r="A19" i="2"/>
  <c r="A18" i="2"/>
  <c r="D11" i="2"/>
  <c r="D10" i="2"/>
  <c r="D26" i="5" l="1"/>
  <c r="D14" i="4"/>
  <c r="E30" i="3"/>
  <c r="E31" i="3" s="1"/>
  <c r="E32" i="3" s="1"/>
  <c r="E33" i="3"/>
  <c r="E34" i="3"/>
  <c r="D30" i="3"/>
  <c r="D31" i="3" s="1"/>
  <c r="D32" i="3" s="1"/>
  <c r="D33" i="3"/>
  <c r="D34" i="3"/>
  <c r="C30" i="3"/>
  <c r="C31" i="3" s="1"/>
  <c r="C32" i="3" s="1"/>
  <c r="C35" i="3" s="1"/>
  <c r="C33" i="3"/>
  <c r="C34" i="3"/>
  <c r="E20" i="3"/>
  <c r="E21" i="3" s="1"/>
  <c r="E22" i="3" s="1"/>
  <c r="E23" i="3"/>
  <c r="E24" i="3"/>
  <c r="D20" i="3"/>
  <c r="D21" i="3" s="1"/>
  <c r="D22" i="3" s="1"/>
  <c r="D25" i="3" s="1"/>
  <c r="D23" i="3"/>
  <c r="D24" i="3"/>
  <c r="C20" i="3"/>
  <c r="C21" i="3" s="1"/>
  <c r="C22" i="3" s="1"/>
  <c r="C25" i="3" s="1"/>
  <c r="C23" i="3"/>
  <c r="C24" i="3"/>
  <c r="E10" i="3"/>
  <c r="E11" i="3" s="1"/>
  <c r="E13" i="3"/>
  <c r="E14" i="3"/>
  <c r="E46" i="3"/>
  <c r="D10" i="3"/>
  <c r="D11" i="3" s="1"/>
  <c r="D13" i="3"/>
  <c r="D14" i="3"/>
  <c r="D46" i="3"/>
  <c r="C10" i="3"/>
  <c r="C11" i="3" s="1"/>
  <c r="C13" i="3"/>
  <c r="C14" i="3"/>
  <c r="C46" i="3"/>
  <c r="E12" i="3" l="1"/>
  <c r="E38" i="3"/>
  <c r="E44" i="3" s="1"/>
  <c r="E45" i="3" s="1"/>
  <c r="D12" i="3"/>
  <c r="D38" i="3"/>
  <c r="D44" i="3" s="1"/>
  <c r="D45" i="3" s="1"/>
  <c r="C12" i="3"/>
  <c r="C38" i="3"/>
  <c r="C44" i="3" s="1"/>
  <c r="C45" i="3" s="1"/>
  <c r="E35" i="3"/>
  <c r="D35" i="3"/>
  <c r="E40" i="3"/>
  <c r="E41" i="3"/>
  <c r="D40" i="3"/>
  <c r="D41" i="3"/>
  <c r="D25" i="5" s="1"/>
  <c r="D27" i="5" s="1"/>
  <c r="D28" i="5" s="1"/>
  <c r="C40" i="3"/>
  <c r="C41" i="3"/>
  <c r="E25" i="3"/>
  <c r="C36" i="4"/>
  <c r="E15" i="3" l="1"/>
  <c r="E42" i="3" s="1"/>
  <c r="E6" i="4" s="1"/>
  <c r="E39" i="3"/>
  <c r="D15" i="3"/>
  <c r="D42" i="3" s="1"/>
  <c r="D6" i="4" s="1"/>
  <c r="D39" i="3"/>
  <c r="C15" i="3"/>
  <c r="C42" i="3" s="1"/>
  <c r="C6" i="4" s="1"/>
  <c r="C39" i="3"/>
  <c r="F36" i="4"/>
  <c r="E36" i="4"/>
  <c r="D36" i="4"/>
  <c r="C33" i="4"/>
  <c r="C34" i="4"/>
  <c r="C35" i="4"/>
  <c r="C32" i="4"/>
  <c r="E40" i="4" l="1"/>
  <c r="E17" i="4"/>
  <c r="D17" i="4"/>
  <c r="D40" i="4"/>
  <c r="C17" i="4"/>
  <c r="C40" i="4"/>
  <c r="D33" i="4"/>
  <c r="E33" i="4"/>
  <c r="F33" i="4"/>
  <c r="D34" i="4"/>
  <c r="E34" i="4"/>
  <c r="F34" i="4"/>
  <c r="D35" i="4"/>
  <c r="E35" i="4"/>
  <c r="F35" i="4"/>
  <c r="D32" i="4"/>
  <c r="E32" i="4"/>
  <c r="F32" i="4"/>
  <c r="D19" i="4" l="1"/>
  <c r="D26" i="4"/>
  <c r="D27" i="4" l="1"/>
  <c r="D24" i="4"/>
  <c r="D25" i="4"/>
  <c r="D41" i="4"/>
  <c r="D42" i="4"/>
</calcChain>
</file>

<file path=xl/sharedStrings.xml><?xml version="1.0" encoding="utf-8"?>
<sst xmlns="http://schemas.openxmlformats.org/spreadsheetml/2006/main" count="572" uniqueCount="405">
  <si>
    <t>02_sizing — how to fill it in (Assignment 2)</t>
  </si>
  <si>
    <t>WHICH PROJECT IS THIS ABOUT?</t>
  </si>
  <si>
    <t>Your team's own project: the customer-support agent your team chose for the course (one of the proposals P1–P8 in the project document, or your own idea). One sheet per team, committed as 02_sizing.xlsx in your Git repository. It is NOT about Paylio: Paylio is the fictional company of the in-class exercise; it only appears in column H of the Inputs tab, to show what a filled-in cell looks like.</t>
  </si>
  <si>
    <t>WHAT THE SHEET ANSWERS</t>
  </si>
  <si>
    <t>Is your agent worth building for the company? You get: the net value per year in three scenarios (pessimistic, base, optimistic), an expected value, the comparison with doing nothing and with another project the same team could do, a decision (go / no-go / conditional go), the one assumption that flips the decision, and a build / buy / orchestrate score. Your memo (02_investment_memo.md) explains these numbers in one page.</t>
  </si>
  <si>
    <t>WHERE YOUR NUMBERS COME FROM</t>
  </si>
  <si>
    <t>1) Your company's numbers are in your proposal (table at the bottom of this tab): treat them as measured — they are your company's logs. 2) Orders of magnitude from the Session 2 slides (a human ticket costs €5–15 all-in; an LLM conversation €0.02–0.20): analogy. 3) Everything else is your estimate: write guess, and say in the note how you would check it. Every yellow cell gets a source type and a note.</t>
  </si>
  <si>
    <t>STEP BY STEP — about one hour, as a team. Type only in the yellow cells.</t>
  </si>
  <si>
    <t>Step</t>
  </si>
  <si>
    <t>Where</t>
  </si>
  <si>
    <t>What to enter</t>
  </si>
  <si>
    <t>Tip</t>
  </si>
  <si>
    <t>1 · Volume and human cost</t>
  </si>
  <si>
    <t>Inputs, rows 6–9</t>
  </si>
  <si>
    <t>Tickets per month; number of support agents; what ONE agent costs the company per year (all-in); the cost of one ticket handled by a human.</t>
  </si>
  <si>
    <t>From your proposal. Row 10 gives the agent time per ticket from headcount (Paylio: 60 × €45k ÷ 480,000 ≈ €5.6; €10 all-in with team leads, QA and tools); row 11 the tickets per agent per day.</t>
  </si>
  <si>
    <t>2 · Your categories</t>
  </si>
  <si>
    <t>Inputs, A14:A16 and rows 14–16</t>
  </si>
  <si>
    <t>Rename the three categories of work your agent deals with — ticket types, requests, incidents, accounts (e.g. P4: refund requests, delivery questions, account issues) — and give each one's share of the volume.</t>
  </si>
  <si>
    <t>Fewer than three? Set Include = 0 (rows 34–36) for the unused ones.</t>
  </si>
  <si>
    <t>3 · Automatable share</t>
  </si>
  <si>
    <t>Inputs, rows 18–20</t>
  </si>
  <si>
    <t>In each category, the share of tickets the agent could handle at all (answerable from the documentation, the policy, the data it can see).</t>
  </si>
  <si>
    <t>Guess from a sample of tickets — and say how you would check it.</t>
  </si>
  <si>
    <t>4 · Deflection realised</t>
  </si>
  <si>
    <t>Inputs, rows 22–24</t>
  </si>
  <si>
    <t>Of those, the share actually resolved without a human once live.</t>
  </si>
  <si>
    <t>Usually THE assumption that flips the decision: mark it “guess → S4 test”.</t>
  </si>
  <si>
    <t>5 · Errors and what they cost</t>
  </si>
  <si>
    <t>Inputs, rows 26–32</t>
  </si>
  <si>
    <t>The error rate per category, and the cost in € of one wrong answer (customer retries, refund leakage, penalty, churn, a legal case).</t>
  </si>
  <si>
    <t>The costly categories are where a human must stay — that is a scope decision (step 6).</t>
  </si>
  <si>
    <t>6 · Scope</t>
  </si>
  <si>
    <t>Inputs, rows 34–36</t>
  </si>
  <si>
    <t>1 = the agent handles this category, 0 = it does not.</t>
  </si>
  <si>
    <t>Try 0 on the riskiest category and watch the decision.</t>
  </si>
  <si>
    <t>7 · Adoption by quarter</t>
  </si>
  <si>
    <t>Inputs, rows 39–42</t>
  </si>
  <si>
    <t>The share of the deflectable volume actually handled in Q1, Q2, Q3, Q4.</t>
  </si>
  <si>
    <t>Never 100 % in Q1 — Octopus Energy went from a handful of emails to 34 %, then 45 %.</t>
  </si>
  <si>
    <t>8 · AI cost</t>
  </si>
  <si>
    <t>Inputs, rows 45–46</t>
  </si>
  <si>
    <t>The AI cost per conversation (tokens × price) and the retry overhead.</t>
  </si>
  <si>
    <t>€0.02–0.20 per conversation; recheck token prices the day you fill it in.</t>
  </si>
  <si>
    <t>9 · Fixed costs</t>
  </si>
  <si>
    <t>Inputs, rows 49–56</t>
  </si>
  <si>
    <t>Integration, evaluation, supervision (people in the loop, in FTE), monitoring and on-call, re-evaluation when the model changes.</t>
  </si>
  <si>
    <t>The human in the loop is a cost line, not free.</t>
  </si>
  <si>
    <t>10 · The two comparisons</t>
  </si>
  <si>
    <t>Inputs, rows 59–60</t>
  </si>
  <si>
    <t>How much the current process improves each year on its own (do-nothing), and the yearly value of the next-best project the same team could do (name it in the note).</t>
  </si>
  <si>
    <t>The hurdle is another project, not zero.</t>
  </si>
  <si>
    <t>11 · Probabilities</t>
  </si>
  <si>
    <t>Inputs, row 63</t>
  </si>
  <si>
    <t>How likely you find the pessimistic, base and optimistic scenarios.</t>
  </si>
  <si>
    <t>Must sum to 1 (row 64 checks it).</t>
  </si>
  <si>
    <t>12 · Read the result</t>
  </si>
  <si>
    <t>Decision tab</t>
  </si>
  <si>
    <t>Net value per scenario, expected value, comparisons, the decision cell, and the sensitivity table: the deflection rate at which the decision flips.</t>
  </si>
  <si>
    <t>Do not type here. The flip point goes in the memo — your Session 4 prototype will measure it.</t>
  </si>
  <si>
    <t>13 · Build, buy or orchestrate</t>
  </si>
  <si>
    <t>Build or buy tab</t>
  </si>
  <si>
    <t>Weights (sum 100 %) and a score from 1 to 5 for each option on the ten questions; the vendor's price per resolution for the break-even.</t>
  </si>
  <si>
    <t>The score informs the decision; the memo makes it.</t>
  </si>
  <si>
    <t>14 · Write the memo</t>
  </si>
  <si>
    <t>02_investment_memo.md</t>
  </si>
  <si>
    <t>Recommendation on line one, the four CFO questions, one line on build / buy / orchestrate.</t>
  </si>
  <si>
    <t>Same base case as this sheet.</t>
  </si>
  <si>
    <t>STARTING NUMBERS FROM THE PROJECT DOCUMENT</t>
  </si>
  <si>
    <t>Proposal</t>
  </si>
  <si>
    <t>Company numbers</t>
  </si>
  <si>
    <t>The pain</t>
  </si>
  <si>
    <t>Kind of value</t>
  </si>
  <si>
    <t>P1 · HR &amp; payroll SaaS</t>
  </si>
  <si>
    <t>2,500 customer companies · 40,000 tickets/month · 60 support agents</t>
  </si>
  <si>
    <t>55 % of tickets are “how do I…” questions already answered in the documentation; peaks at month end</t>
  </si>
  <si>
    <t>Work avoided</t>
  </si>
  <si>
    <t>P2 · B2B payments fintech</t>
  </si>
  <si>
    <t>800 merchants · 12,000 tickets/month</t>
  </si>
  <si>
    <t>Agents spend 40 % of handling time reading transaction history and past tickets</t>
  </si>
  <si>
    <t>Time saved (copilot)</t>
  </si>
  <si>
    <t>P3 · DevOps / observability</t>
  </si>
  <si>
    <t>5,000 accounts · tickets ×10 during incidents (normal volume not given: estimate it)</t>
  </si>
  <si>
    <t>During an outage, 70 % of tickets say the same thing</t>
  </si>
  <si>
    <t>Incident load — tickets per incident × incidents a year</t>
  </si>
  <si>
    <t>P4 · E-commerce logistics</t>
  </si>
  <si>
    <t>15,000 merchants · 25,000 tickets/month</t>
  </si>
  <si>
    <t>30 % of tickets are label refunds; refunds under €20 cost more to process than they are worth</t>
  </si>
  <si>
    <t>Work avoided; the cost of error is refund leakage</t>
  </si>
  <si>
    <t>P5 · Ed-tech LMS</t>
  </si>
  <si>
    <t>14 countries · 6 languages · 20 agents (volume not given: estimate it)</t>
  </si>
  <si>
    <t>Tickets in Portuguese, Polish, Arabic wait 2–3× longer</t>
  </si>
  <si>
    <t>Work avoided — use the categories for languages</t>
  </si>
  <si>
    <t>P6 · Project-management SaaS</t>
  </si>
  <si>
    <t>30,000 SMB accounts · 9,000 tickets/month · 8 % annual churn</t>
  </si>
  <si>
    <t>Churn signals visible in support weeks before cancellation</t>
  </si>
  <si>
    <t>Work avoided + revenue retained (Other value)</t>
  </si>
  <si>
    <t>P7 · Cybersecurity SaaS</t>
  </si>
  <si>
    <t>400 enterprise accounts · 6,000 tickets/month · 25 engineers · SLA P1 = 1 h, P2 = 4 h</t>
  </si>
  <si>
    <t>Misprioritised tickets cause SLA breaches and penalties</t>
  </si>
  <si>
    <t>Time saved + penalties avoided (Other value)</t>
  </si>
  <si>
    <t>P8 · Hospitality-tech</t>
  </si>
  <si>
    <t>3,000 hotels (volume not given: estimate it) · reviews.csv for real data</t>
  </si>
  <si>
    <t>20 % of tickets are analysis requests; answer today in 4 days</t>
  </si>
  <si>
    <t>Time saved — analysis requests answered faster</t>
  </si>
  <si>
    <t>Own project</t>
  </si>
  <si>
    <t>The numbers of your 00_pitch.md</t>
  </si>
  <si>
    <t>Your pain, expressed as a cost</t>
  </si>
  <si>
    <t>Pick the kind of value below; invent plausible numbers and label them</t>
  </si>
  <si>
    <t>NOT ONLY TICKETS — OTHER KINDS OF VALUE, WITH WORKED EXAMPLES</t>
  </si>
  <si>
    <t>Every agent is sized the same way: volume × share in scope × success rate × value per success − AI cost − cost of errors − fixed costs. Only the unit and the value change. Pick the line that matches your agent (you can combine two). Numbers below are illustrative — replace them with yours.</t>
  </si>
  <si>
    <t>Typical for</t>
  </si>
  <si>
    <t>What goes where in the sheet</t>
  </si>
  <si>
    <t>Illustrative example</t>
  </si>
  <si>
    <t>Work avoided (deflection)</t>
  </si>
  <si>
    <t>P1, P4, P5</t>
  </si>
  <si>
    <t>Volume = tickets · success rate = deflection · value per unit = human cost of one ticket.</t>
  </si>
  <si>
    <t>P1: 40,000 tickets × 55 % “how do I” × 68 % automatable × your deflection rate (say 50 %) × €10 ≈ €75k a month at full adoption.</t>
  </si>
  <si>
    <t>P2, P7 (triage), P8</t>
  </si>
  <si>
    <t>Volume = tickets or requests the agent helps with · success rate = share of handling time saved · value per unit = human cost of one.</t>
  </si>
  <si>
    <t>P2: 12,000 tickets × 100 % with the copilot × 20 % of time saved × €10 ≈ €24k a month.</t>
  </si>
  <si>
    <t>Revenue retained</t>
  </si>
  <si>
    <t>P6</t>
  </si>
  <si>
    <t>Use an Other value row (67–68): accounts at risk that reach support × share saved × yearly revenue per account.</t>
  </si>
  <si>
    <t>P6: 30,000 accounts × 8 % churn = 2,400 lost a year; half open a ticket first; 10 % saved = 120 × €1,200 ≈ €144k a year.</t>
  </si>
  <si>
    <t>Penalties avoided</t>
  </si>
  <si>
    <t>P7</t>
  </si>
  <si>
    <t>Use an Other value row: breaches a year × share avoided × penalty per breach (from the contracts).</t>
  </si>
  <si>
    <t>P7: 240 SLA breaches a year × 30 % avoided × €2,000 ≈ €144k a year.</t>
  </si>
  <si>
    <t>Faster answers, incident load</t>
  </si>
  <si>
    <t>P3, P8</t>
  </si>
  <si>
    <t>Volume = requests or incident tickets (incidents a year × tickets per incident ÷ 12) · value = agent time per ticket; the speed gain goes in the memo.</t>
  </si>
  <si>
    <t>P3: 20 incidents a year × 1,500 tickets each ÷ 12 = 2,500 tickets a month.</t>
  </si>
  <si>
    <t>Data &amp; AI Product: From Diagnosis to Delivery · Albert School MSA-DAT07-04 · Assignment 2 · BleuAI</t>
  </si>
  <si>
    <t>02_sizing — NAVY · P2 agent-assist copilot for Keelpay (B2B payments fintech) · Inputs</t>
  </si>
  <si>
    <t>Team NAVY, proposal P2. Yellow cells: Low = pessimistic, Base, High = optimistic; every input has a source type and a note. Column H keeps the Paylio class exercise (format only). COPILOT ADAPTATION — see the note in row 3.</t>
  </si>
  <si>
    <t>Copilot adaptation: value = handling time SAVED, not tickets deflected. 'Helped' = tickets where the copilot shows a grounded draft; 'success' = share of handling time saved on a helped ticket. Tokens and wrong replies are priced on HELPED (drafted) tickets, not on time-saved equivalents (Upside rows 13–14, 23–24, 33–34 and the Decision sensitivity table were changed for this); value per ticket = agent time only (G9).</t>
  </si>
  <si>
    <t>Parameter</t>
  </si>
  <si>
    <t>Unit</t>
  </si>
  <si>
    <t>Low (pessimistic)</t>
  </si>
  <si>
    <t>Base</t>
  </si>
  <si>
    <t>High (optimistic)</t>
  </si>
  <si>
    <t>Source type</t>
  </si>
  <si>
    <t>Note / where the number comes from</t>
  </si>
  <si>
    <t>Example only — class exercise (Paylio, base)</t>
  </si>
  <si>
    <t>VOLUME AND HUMAN COST</t>
  </si>
  <si>
    <t>Volume per month (tickets, requests, conversations…)</t>
  </si>
  <si>
    <t>tickets</t>
  </si>
  <si>
    <t>guess</t>
  </si>
  <si>
    <t>P2 case figure (~12,000 tickets a month, no ticket log exists, so 01_problem_statement.md labels it guess). Low −10 % (seasonal dip), High +15 % (the same +15 %/yr volume growth as the do-nothing in 01 §7). Test: 12-month helpdesk export in a real company.</t>
  </si>
  <si>
    <t>Tier-1 support agents (headcount)</t>
  </si>
  <si>
    <t>people</t>
  </si>
  <si>
    <t>analogy</t>
  </si>
  <si>
    <t>P2 gives no team size. Paylio ratio (S2 slides p. 37): 40,000 tickets / 60 agents ≈ 667 tickets per agent-month, so 12,000 / 667 ≈ 18 agents (01 §1). Row 11 then shows ≈ 32 tickets per agent per day, as at Paylio.</t>
  </si>
  <si>
    <t>Cost of ONE agent to the company per year (all-in)</t>
  </si>
  <si>
    <t>€ / year</t>
  </si>
  <si>
    <t>Paylio case: €45k per agent per year, all-in (S2 slides p. 37); same figure as 01 §1. Cross-check: French job postings for customer advisers run from ~€22k gross (Nickel, a fintech) to ~€42k (banks) (France Travail, Michael Page, 2026); with employer charges of roughly 30–45 %, €45k all-in is plausible. Single postings, not a survey.</t>
  </si>
  <si>
    <t>Value of ONE ticket-equivalent of agent time saved (agent time only)</t>
  </si>
  <si>
    <t>€ / ticket</t>
  </si>
  <si>
    <t>Agent TIME only: handling minutes × €0.39 per minute (€45k ÷ (160 h × 12 × 60)); 10 / 12 / 14 minutes → €3.9 / €4.7 / €5.5. Not the template's €10 all-in: team leads, QA and tools do not shrink when handling time falls ~15 %. Reproduces the ≈ €100k gross of 01 §1 (15 % × 144,000 × €4.7). Row 10 (€5.6) also pays ~17 % of non-handling time (breaks, training). AHT 12 min is a guess: secondary benchmarks give 4–6 min for routine email tickets and 8–15 min for complex ones (attributed to Forrester / Salesforce, not verified); payment investigations sit in the complex band. Test: timed sample of 20–30 tickets (S5).</t>
  </si>
  <si>
    <t>Check — cost per ticket from headcount, base = agents × cost per agent ÷ tickets per year</t>
  </si>
  <si>
    <t>Formula, not an input: agents × cost per agent ÷ (volume × 12) = the agent time per unit. Row 9 should be equal or higher (Paylio: €5.6 of agent time, €10 all-in).</t>
  </si>
  <si>
    <t>Check — tickets per agent per working day, base (21 working days a month)</t>
  </si>
  <si>
    <t>Formula, not an input: volume ÷ agents ÷ 21 — a sanity check (Paylio ≈ 32 tickets a day).</t>
  </si>
  <si>
    <t>TICKET CATEGORIES</t>
  </si>
  <si>
    <t>Share of the volume by category (rename the three categories in A14:A16 — the other blocks follow)</t>
  </si>
  <si>
    <t xml:space="preserve">   Where is my money (payout, payment status)</t>
  </si>
  <si>
    <t>share</t>
  </si>
  <si>
    <t>P2 says only 'a high share of “where is my money” and dispute questions'. Our 45 / 25 / 30 split (payment tickets = 70 %) is a guess. Test: tag counts in the helpdesk, or classify a 200-ticket sample.</t>
  </si>
  <si>
    <t xml:space="preserve">   Disputes &amp; chargebacks</t>
  </si>
  <si>
    <t>Same guess and same test as row 14.</t>
  </si>
  <si>
    <t xml:space="preserve">   Other (account, KYC / onboarding, fees)</t>
  </si>
  <si>
    <t>Remainder: account, KYC / onboarding, fees, technical questions. Same test as row 14.</t>
  </si>
  <si>
    <t>Helped share — tickets where the copilot shows a grounded draft (above the groundedness threshold)</t>
  </si>
  <si>
    <t>guess → S4 test</t>
  </si>
  <si>
    <t>Share of tickets where the merchant and the transaction are identified well enough to show a draft above the groundedness threshold. Base 70 % here and 55 % on disputes → payment tickets average 65 %, our reading of hypothesis 1 in 01 §6 (≥ 60 %). S4 TEST: run 200 synthetic tickets, count drafts above the threshold whose cited transaction is right.</t>
  </si>
  <si>
    <t>Disputes are longer and more ambiguous (several linked payments, older tickets): lower than payouts. Same S4 run, split by category.</t>
  </si>
  <si>
    <t>Account / KYC / fee questions rely more on policy than on a ledger lookup, so the grounded-draft share is the lowest. Same S4 run.</t>
  </si>
  <si>
    <t>Share of handling time saved on a helped ticket (copilot: time saved, not deflection)</t>
  </si>
  <si>
    <t>Reading is 40 % of handling time (P2 case figure). Base 27 %: the agent still checks the evidence, so the draft removes about 60 % of the reading (24 points) plus a little writing. Result: ≈ 10 % of all handling time at full adoption with disputes out of scope (Upside row 45; ≈ 13 % if disputes were drafted too), against −12 to −13 % published: Brynjolfsson, Li &amp; Raymond (QJE 2025: +15 % issues resolved per hour for 5,172 agents ≈ −13 % time per issue) and Microsoft's own Copilot for Service trial (−12 %, vendor-reported, CX Today Nov 2023). Test: time study with / without draft (S5), then A/B (S6).</t>
  </si>
  <si>
    <t>your guess: 30–80 %</t>
  </si>
  <si>
    <t>Disputes involve more judgement and writing around the evidence, so the reading saving is a smaller part of the ticket. Same test.</t>
  </si>
  <si>
    <t>your guess: lower — harder questions</t>
  </si>
  <si>
    <t>Little reading to remove on policy-type questions. Same test.</t>
  </si>
  <si>
    <t>your guess</t>
  </si>
  <si>
    <t>Error rate — share of drafted tickets that end as an uncaught WRONG reply (wrong draft × not caught by the agent)</t>
  </si>
  <si>
    <t>P(wrong draft above threshold) × P(not caught). Base 5 % × 10 % = 0.5 %: the bars of hypotheses 1 and 3 in 01 §6. Low 10 % × 10 %, High 5 % × 5 %. The human agent's own error rate today is NOT netted off (unknown) — conservative. Test: S4 eval-set plus ≥ 30 seeded wrong drafts across 6–8 testers.</t>
  </si>
  <si>
    <t>Base 7 % × 10 % (disputes are harder to match); low 14 % × 10 %; high 7 % × 5 %. Same test, per category.</t>
  </si>
  <si>
    <t>Base 6 % × 10 %; low 12 % × 10 %; high 6 % × 5 %. Same test, per category.</t>
  </si>
  <si>
    <t>Cost of one uncaught wrong reply reaching a merchant</t>
  </si>
  <si>
    <t>€ / error</t>
  </si>
  <si>
    <t>Wrong status or date on a payout: about 2 extra contacts (€20) + goodwill credit (€25) ≈ €45, plus a churn / complaint tail ≈ €75 (guess: about 1 wrong reply in 100 costs a merchant relationship). Base €120, low €200, high €60. Check: 12 months of credit notes and complaint logs.</t>
  </si>
  <si>
    <t>a few € (asks again)</t>
  </si>
  <si>
    <t>Wrong status or deadline on a dispute ≈ a lost chargeback for the merchant: Mastercard 2025 puts a chargeback at $128 in fees and internal costs ($46 + $82), on an average disputed amount of $84–120 by sector → ≈ €250 (150–400; the high end covers the PSD2 / complaint handling risk). THE GOVERNANCE LINE — legal and reputational risk, not just money; owner named in governance.md (Session 2).</t>
  </si>
  <si>
    <t>hundreds of € (penalty)</t>
  </si>
  <si>
    <t>Wrong answer on an account, KYC or fee question: fee / refund leakage ≈ €40 (20–80). Check against 12 months of credit notes.</t>
  </si>
  <si>
    <t>tens of € (refund)</t>
  </si>
  <si>
    <t>Include category in scope? (1 = copilot drafts for it, 0 = no draft; context only)</t>
  </si>
  <si>
    <t>1/0</t>
  </si>
  <si>
    <t>decision</t>
  </si>
  <si>
    <t>In scope: biggest category (45 %), lowest cost of error, most reading to remove.</t>
  </si>
  <si>
    <t>EXCLUDED from drafting in year 1: at the 01 §6 bars, wrong dispute drafts cost ≈ €35k a year at full adoption against ≈ €21k of time saved (Include = 1 shows it). Disputes stay 'context only' (retrieval panel, no draft); the time that panel saves is NOT counted — conservative. Revisit after two quarters of eval data.</t>
  </si>
  <si>
    <t>In scope: small share, low cost of error.</t>
  </si>
  <si>
    <t>ADOPTION RAMP — share of eligible tickets actually handled with the copilot, by quarter</t>
  </si>
  <si>
    <t xml:space="preserve">   Q1</t>
  </si>
  <si>
    <t>Same staging as the S2 class sheet (Octopus Energy: a handful → 34 % → 45 %). For us: cohorts of 6 agents; the next step only if the QA score and the uncaught-wrong-reply rate hold. Use is optional per agent (no forced use, governance S1 #6), so the ramp stops at 70 % in the base case.</t>
  </si>
  <si>
    <t xml:space="preserve">   Q2</t>
  </si>
  <si>
    <t>Cohort 2 of 6 agents added; guardrail: QA score not below baseline.</t>
  </si>
  <si>
    <t xml:space="preserve">   Q3</t>
  </si>
  <si>
    <t>Cohort 3; guardrail: uncaught-wrong-reply rate at or below the Base error rate.</t>
  </si>
  <si>
    <t xml:space="preserve">   Q4</t>
  </si>
  <si>
    <t>All agents have it available; not everyone uses it on every ticket.</t>
  </si>
  <si>
    <t>AI HANDLING COST</t>
  </si>
  <si>
    <t>AI cost per DRAFTED ticket (tokens, inference, groundedness pass)</t>
  </si>
  <si>
    <t>€ / conv.</t>
  </si>
  <si>
    <t>Per drafted ticket, not per time-saved unit. Base: ~10k tokens in (ticket + transactions + past tickets + policy) and ~4k out incl. adaptive thinking on Claude Sonnet 5.5 ($2 / $10 per M tokens) ≈ $0.06, plus a groundedness pass on Haiku 5.5 ($0.10 / $0.50) ≈ $0.002. Low = Claude Opus 5.5 ($4 / $20) ≈ $0.13; High = lighter model / shorter context ≈ $0.03. Prices: Claude API reference (cached 2026-10-06) — recheck on the day; USD read as EUR. Cost curve (base / −50 % a year / flat): tokens are ≈ €2k of a ≈ €32k gross in year 1, so the decision does not depend on it.</t>
  </si>
  <si>
    <t>Retry / escalation overhead</t>
  </si>
  <si>
    <t>×</t>
  </si>
  <si>
    <t>Paylio class sheet: retries and hand-offs still cost tokens.</t>
  </si>
  <si>
    <t>FIXED AND SEMI-FIXED COSTS</t>
  </si>
  <si>
    <t>Integration (CRM, knowledge base, auth, logging) — one-off</t>
  </si>
  <si>
    <t>€</t>
  </si>
  <si>
    <t>One-off: helpdesk side panel + read-only connectors to ledger, disputes and knowledge base + retrieval + groundedness evaluator + logging ≈ 6 person-months at ~€100k per engineer-year, plus security / DPO review. Paylio's €90k (class sheet) scaled down: one helpdesk, no customer-facing channel. The S4 prototype gives a real effort number. This is also the rule layer of 01 §2 (built anyway).</t>
  </si>
  <si>
    <t>Amortisation period</t>
  </si>
  <si>
    <t>years</t>
  </si>
  <si>
    <t>Amortised over three years, as in the class sheet.</t>
  </si>
  <si>
    <t>Evaluation — eval-set upkeep and human graders</t>
  </si>
  <si>
    <t>200-ticket gold set (labelled by a teammate who does not tune the prompt, 01 §6 hypothesis 1) and its upkeep ≈ 0.2 FTE of QA and grader time. Paylio €40k (class sheet) scaled down.</t>
  </si>
  <si>
    <t>Supervision — extra humans on top of the sending agent (QA lead auditing drafts)</t>
  </si>
  <si>
    <t>FTE</t>
  </si>
  <si>
    <t>judgement</t>
  </si>
  <si>
    <t>Extra to the agents themselves: the agent who reads and sends each draft is already inside the handling-time figure (no double count). The extra is a QA lead auditing a sample of sent drafts for wrong matches and tuning the groundedness threshold.</t>
  </si>
  <si>
    <t>Cost per supervision FTE</t>
  </si>
  <si>
    <t>Paylio class sheet: €55k per supervision FTE.</t>
  </si>
  <si>
    <t>Monitoring and on-call</t>
  </si>
  <si>
    <t>Alerts on groundedness drift and latency, shared with the existing on-call rota.</t>
  </si>
  <si>
    <t>Model-version changes per year</t>
  </si>
  <si>
    <t>changes</t>
  </si>
  <si>
    <t>Each model-version change replays the 200-ticket eval-set (S7 trigger).</t>
  </si>
  <si>
    <t>Re-evaluation cost per model change</t>
  </si>
  <si>
    <t>€ / change</t>
  </si>
  <si>
    <t>Replay of the eval-set + a grader review of the diffs.</t>
  </si>
  <si>
    <t>THE TWO COMPARISONS</t>
  </si>
  <si>
    <t>Do-nothing: yearly efficiency gain of the current process</t>
  </si>
  <si>
    <t>01 §7: +5 %/yr efficiency, as in the Paylio do-nothing line (S2 sheet). Volume growth (+15 %/yr) is NOT netted off — it raises the cost of doing nothing, see the memo.</t>
  </si>
  <si>
    <t>Next-best project — net annual value (the hurdle): rule-only ticket-to-transaction auto-attach, no AI</t>
  </si>
  <si>
    <t>NEXT-BEST PROJECT: rule-only ticket-to-transaction auto-attach, no AI (01 §2 fix (a) and §3: lookup by merchant ID, date, amount). Same team, 6–8 weeks, no model risk. 01 §3 guess: it removes 30–50 % of reading = 12–20 % of handling time (mid 16 %). 16 % × 144,000 tickets × €4.7 × ~85 % year-1 rollout ≈ €92k, less €40k ÷ 3 integration and ~€10k upkeep ≈ €70k (range ≈ €45–95k). It is also the retrieval layer of the copilot, so it is the baseline the LLM layer must beat. Test: observe 20 tickets (S5).</t>
  </si>
  <si>
    <t>SCENARIO PROBABILITIES</t>
  </si>
  <si>
    <t>Probability of each scenario</t>
  </si>
  <si>
    <t>p</t>
  </si>
  <si>
    <t>30 / 50 / 20 as in the class exercise: slightly pessimistic because first-year ramps rarely hit plan, and every key input is still a guess (no logs, no prototype).</t>
  </si>
  <si>
    <t>Check — probabilities sum to 1</t>
  </si>
  <si>
    <t>formula</t>
  </si>
  <si>
    <t>OTHER VALUE — when your agent creates value beyond the work it removes (revenue retained, penalties avoided, sales…)</t>
  </si>
  <si>
    <t>Other value 1 — NOT SIZED (faster first reply, faster ramp-up of new agents)</t>
  </si>
  <si>
    <t>€ / yr</t>
  </si>
  <si>
    <t>NOT SIZED — no number we can source: faster first reply (SLA, merchant satisfaction), faster ramp-up of new agents (Brynjolfsson et al.: gains concentrate on novices), more consistent replies. The memo states how much they would have to be worth to flip the decision (Decision row 41).</t>
  </si>
  <si>
    <t>Other value 2 — not used</t>
  </si>
  <si>
    <t>Write the calculation here, e.g. 1,200 at-risk accounts × 10 % saved × €1,200 a year. Leave empty if not relevant.</t>
  </si>
  <si>
    <t>Sources: every number is tagged measured / analogy / guess; nothing here is measured (Keelpay is a case, there is no ticket log).</t>
  </si>
  <si>
    <t>• 01_problem_statement.md (this repo), §1 numbers, §3 rule-first answer, §6 hypotheses 1–3, §7 do-nothing.</t>
  </si>
  <si>
    <t>• S2 slides (Albert School / BleuAI, Oct 2026), p. 37 Paylio case and the class sheet S2_Paylio_sizing_sheet_STUDENT.xlsx (cost per agent, ramp, fixed-cost orders of magnitude).</t>
  </si>
  <si>
    <t>• Brynjolfsson, Li &amp; Raymond, “Generative AI at Work”, QJE 2025, vol. 140(2), pp. 889–942, arXiv:2304.11771 (+15 % issues resolved per hour, 5,172 support agents; the 2023 working paper said +14 % / 5,179).</t>
  </si>
  <si>
    <t>• Mastercard, “What’s the true cost of a chargeback in 2025?” (with Javelin): $128 per chargeback ($46 fees + $82 internal), average disputed amount $84–120 — https://b2b.mastercard.com/news-and-insights/blog/what-s-the-true-cost-of-a-chargeback-in-2025</t>
  </si>
  <si>
    <t>• Handling-time benchmarks (secondary, unverified): Stealth Agents 2026 — https://stealthagents.com/research/customer-support-average-handle-time-statistics-2026/ · Agent pay: France Travail and Michael Page job postings, 2026.</t>
  </si>
  <si>
    <t>• Microsoft Copilot for Service, −12 % average handling time in Microsoft's own contact-centre trial (vendor-reported) — https://www.cxtoday.com/wfo/copilot-cuts-average-handling-time-by-12-percent-claims-microsoft/</t>
  </si>
  <si>
    <t>• Anthropic Claude API reference, model prices per million tokens: Sonnet 5.5 $2 / $10, Haiku 5.5 $0.10 / $0.50, Opus 5.5 $4 / $20 (cached table dated 2026-10-06; not rechecked on anthropic.com).</t>
  </si>
  <si>
    <t>• Vendor copilot add-on prices, found by web search on 2026-10-30 in third-party summaries (confirm on the vendors' pricing pages): Zendesk Copilot $50 per agent per month, annual; Intercom Copilot $29 annual / $35 monthly per agent — https://www.eesel.ai/blog/zendesk-ai-copilot-add-on-pricing · https://www.intercom.com/learning-center/intercom-pricing</t>
  </si>
  <si>
    <t>02_sizing — your agent · Upside (bottom-up tree per category, year 1)</t>
  </si>
  <si>
    <t>All cells are formulas linked to Inputs. Copilot adaptation: value is on time-saved equivalents; tokens and wrong-reply costs are on drafted tickets (rows 13–14, 23–24, 33–34). Read each block top to bottom: it is the tree from the S2 slides, per ticket category.</t>
  </si>
  <si>
    <t>Line</t>
  </si>
  <si>
    <t>Low</t>
  </si>
  <si>
    <t>High</t>
  </si>
  <si>
    <t>How it is computed</t>
  </si>
  <si>
    <t>Year-1 adoption factor (average of the four quarters)</t>
  </si>
  <si>
    <t>→ AVERAGE(Inputs ramp Q1..Q4)</t>
  </si>
  <si>
    <t>Tickets per month in this category</t>
  </si>
  <si>
    <t>→ tickets/month × share</t>
  </si>
  <si>
    <t>Helped (drafted) tickets per month</t>
  </si>
  <si>
    <t>× helped share (grounded draft shown)</t>
  </si>
  <si>
    <t>Ticket-equivalents of time saved per month, steady state (if in scope)</t>
  </si>
  <si>
    <t>× share of handling time saved on a helped ticket × include flag</t>
  </si>
  <si>
    <t>Ticket-equivalents saved in year 1, with the adoption ramp</t>
  </si>
  <si>
    <t>tickets / yr</t>
  </si>
  <si>
    <t>× 12 × year-1 adoption factor</t>
  </si>
  <si>
    <t>Gross value — agent time saved</t>
  </si>
  <si>
    <t>× value of one ticket-equivalent of agent time (Inputs row 9)</t>
  </si>
  <si>
    <t>Expected cost of wrong replies (priced on drafted tickets)</t>
  </si>
  <si>
    <t>DRAFTED tickets in year 1 × error rate × cost of one wrong reply — the tail, priced</t>
  </si>
  <si>
    <t>AI handling cost (tokens, retries — on drafted tickets)</t>
  </si>
  <si>
    <t>DRAFTED tickets in year 1 × AI cost per drafted ticket × retry overhead</t>
  </si>
  <si>
    <t>Net contribution of this category</t>
  </si>
  <si>
    <t>gross − error cost − AI cost</t>
  </si>
  <si>
    <t>TOTALS — ALL CATEGORIES IN SCOPE</t>
  </si>
  <si>
    <t>Ticket-equivalents of time saved in year 1</t>
  </si>
  <si>
    <t>sum of the three categories</t>
  </si>
  <si>
    <t>Expected cost of wrong replies</t>
  </si>
  <si>
    <t>AI handling cost</t>
  </si>
  <si>
    <t>Net variable contribution (before fixed costs)</t>
  </si>
  <si>
    <t>Share of handling time saved in year 1 (all tickets)</t>
  </si>
  <si>
    <t>ticket-equivalents saved ÷ all tickets: the average handling-time reduction in year 1</t>
  </si>
  <si>
    <t>Share of handling time saved at full adoption (steady state)</t>
  </si>
  <si>
    <t>year-1 share ÷ adoption factor — compare with −12 to −13 % published and the −15 % target in 01 §1</t>
  </si>
  <si>
    <t>Drafted tickets in year 1 (exposure to wrong replies)</t>
  </si>
  <si>
    <t>helped tickets × 12 × adoption, in-scope categories</t>
  </si>
  <si>
    <t>02_sizing — NAVY · P2 copilot · Costs &amp; Decision</t>
  </si>
  <si>
    <t>Three scenarios → expected value → two comparisons (do-nothing, hurdle). Green = links to Upside / Inputs; black = formulas.</t>
  </si>
  <si>
    <t>VALUE</t>
  </si>
  <si>
    <t>Net variable contribution (Upside) + other value (Inputs rows 67–68)</t>
  </si>
  <si>
    <t>gross − error cost − AI cost, all categories in scope</t>
  </si>
  <si>
    <t>Integration, amortised</t>
  </si>
  <si>
    <t>one-off ÷ amortisation years</t>
  </si>
  <si>
    <t>Evaluation — eval-set and graders</t>
  </si>
  <si>
    <t>Supervision — humans in the loop</t>
  </si>
  <si>
    <t>FTE × cost per FTE</t>
  </si>
  <si>
    <t>Re-evaluation at model changes</t>
  </si>
  <si>
    <t>changes per year × cost per change</t>
  </si>
  <si>
    <t>Total fixed and semi-fixed</t>
  </si>
  <si>
    <t>NET ANNUAL VALUE AND EXPECTED VALUE</t>
  </si>
  <si>
    <t>Net annual value of the project, year 1</t>
  </si>
  <si>
    <t>net variable contribution − fixed costs</t>
  </si>
  <si>
    <t>Scenario probability</t>
  </si>
  <si>
    <t>from Inputs</t>
  </si>
  <si>
    <t>Expected value (Σ p × net value)</t>
  </si>
  <si>
    <t>the single number — but read the three above it first</t>
  </si>
  <si>
    <t>Do-nothing: value of the current process improving on its own</t>
  </si>
  <si>
    <t>efficiency gain × annual tickets × cost per ticket — not zero</t>
  </si>
  <si>
    <t>Next-best project (the hurdle)</t>
  </si>
  <si>
    <t>EV minus do-nothing</t>
  </si>
  <si>
    <t>EV minus hurdle</t>
  </si>
  <si>
    <t>Pessimistic case clears the hurdle?</t>
  </si>
  <si>
    <t>Decision (formula — you still write the memo)</t>
  </si>
  <si>
    <t>SENSITIVITY — the assumption that flips the decision</t>
  </si>
  <si>
    <t>Base case, varying only the share of handling time saved on a drafted “where is my money” ticket (Inputs row 22). Everything else at Base. Wrong replies and tokens do not move with it: they depend on how many drafts are shown, not on how much time they save.</t>
  </si>
  <si>
    <t>Time saved on a drafted “where is my money” ticket</t>
  </si>
  <si>
    <t>Net annual value</t>
  </si>
  <si>
    <t>vs hurdle</t>
  </si>
  <si>
    <t>vs do-nothing</t>
  </si>
  <si>
    <t>Reading</t>
  </si>
  <si>
    <t>Read down the table: the time-saved rate at which the reading changes is the flip point. Here it never clears even do-nothing inside the possible range (100 % = every minute of a drafted payout ticket saved): the sheet is not flipped by the copilot's effectiveness but by scale and cost — see rows 40–42 and the memo.</t>
  </si>
  <si>
    <t>Check — net annual value at full adoption (steady state, no ramp)</t>
  </si>
  <si>
    <t>variable contribution ÷ adoption factor − fixed costs: what year 2+ would look like at the same inputs</t>
  </si>
  <si>
    <t>Other value needed to reach the hurdle (unsized benefits)</t>
  </si>
  <si>
    <t>hurdle − expected value; compare with what faster replies and faster ramp-up of new agents could plausibly be worth</t>
  </si>
  <si>
    <t>Other value needed to beat do-nothing</t>
  </si>
  <si>
    <t>do-nothing − expected value</t>
  </si>
  <si>
    <t>02_sizing — NAVY · P2 copilot · Build, buy or orchestrate?</t>
  </si>
  <si>
    <t>Score each option from 1 (bad) to 5 (good) on each question, weight what matters to your company (weights sum to 100 %). Then write one line in the memo — “We orchestrate because…” — and the condition that would change it. See the build / buy / orchestrate slides of Session 2 (39–40).</t>
  </si>
  <si>
    <t>#</t>
  </si>
  <si>
    <t>Question</t>
  </si>
  <si>
    <t>Weight</t>
  </si>
  <si>
    <t>Build</t>
  </si>
  <si>
    <t>Buy</t>
  </si>
  <si>
    <t>Orchestrate</t>
  </si>
  <si>
    <t>Why — one line per score that is not obvious</t>
  </si>
  <si>
    <t>01</t>
  </si>
  <si>
    <t>Strategy — Is it our edge? Would a competitor buying the same tool erase our advantage?</t>
  </si>
  <si>
    <t>Support is not Keelpay's edge — payments is; a competitor buying the same copilot erases nothing. Favours buying; building a model is hard to justify.</t>
  </si>
  <si>
    <t>02</t>
  </si>
  <si>
    <t>Strategy — Do we own data or know-how that no vendor has?</t>
  </si>
  <si>
    <t>We own the ledger, dispute history and PSD2 / KYC policy text that a generic vendor copilot does not see — the part that makes the draft right.</t>
  </si>
  <si>
    <t>03</t>
  </si>
  <si>
    <t>Fit &amp; speed — Does a product already do 80 % of the job — our languages, channels, integrations?</t>
  </si>
  <si>
    <t>Helpdesk copilots (Zendesk, Intercom) already draft from tickets and a knowledge base (~50 % of the job) but do not match a transaction in our ledger. Nothing to reuse if we build a model.</t>
  </si>
  <si>
    <t>04</t>
  </si>
  <si>
    <t>Fit &amp; speed — Must it be live in weeks, or can it take quarters?</t>
  </si>
  <si>
    <t>A vendor add-on is live in weeks; an orchestrated build with retrieval and evals takes a quarter; training our own is slower still.</t>
  </si>
  <si>
    <t>05</t>
  </si>
  <si>
    <t>Fit &amp; speed — Do we have the people to build it and to run it — evals, on-call, re-evaluation?</t>
  </si>
  <si>
    <t>Keelpay's team size is unknown but small; evals, on-call and re-evaluation are real work for an 18-agent support team. A vendor runs it; orchestration needs ~0.5 engineer.</t>
  </si>
  <si>
    <t>06</t>
  </si>
  <si>
    <t>Money — 3-year total cost: fees per resolution or per seat vs the seven cost lines of a build</t>
  </si>
  <si>
    <t>3-year cost: vendor ≈ €11k a year at list price for 18 seats (below) vs ≈ €48k a year of build-specific cost lines for orchestrate (rows 26–27 below); a custom model far more.</t>
  </si>
  <si>
    <t>07</t>
  </si>
  <si>
    <t>Money — At what volume does per-resolution pricing cost more than building? (break-even below)</t>
  </si>
  <si>
    <t>At 18 seats the per-seat price stays low at any ticket volume — buying never crosses the break-even here (rows 22–28).</t>
  </si>
  <si>
    <t>08</t>
  </si>
  <si>
    <t>Risk &amp; control — Where does our data go — GDPR, residency, may the vendor train on it?</t>
  </si>
  <si>
    <t>Payers' names and IBAN fragments inside transactions: a vendor means a new sub-processor and an open question on training use; an EU-region API with a DPA and no training is acceptable.</t>
  </si>
  <si>
    <t>09</t>
  </si>
  <si>
    <t>Risk &amp; control — Can we leave — exit clause, export of data, prompts and eval-sets?</t>
  </si>
  <si>
    <t>Prompts, retrieval and eval-set stay ours, and the model can be swapped; a vendor locks the workflow and the metric definition.</t>
  </si>
  <si>
    <t>10</t>
  </si>
  <si>
    <t>Risk &amp; control — Who is liable when it is wrong, and can we see why it answered — logs, evals?</t>
  </si>
  <si>
    <t>A regulated fintech must show why a draft said what it said: our own logs and evals (S4–S5) vs a vendor's black box.</t>
  </si>
  <si>
    <t>Weights must sum to 100 %</t>
  </si>
  <si>
    <t>Weighted score (1–5)</t>
  </si>
  <si>
    <t>Highest weighted score</t>
  </si>
  <si>
    <t>The score informs the decision; the memo makes it. Orchestrate 3.50 vs Buy 3.25: within 0.3, so one condition decides — whether a vendor copilot can read our ledger and keep payment data in the EU under a no-training DPA. If yes, Buy wins on cost.</t>
  </si>
  <si>
    <t>BREAK-EVEN — buying a copilot per seat vs running it yourself (base case, rough)</t>
  </si>
  <si>
    <t>Vendor copilot price per agent seat per month</t>
  </si>
  <si>
    <t>€ / seat / month</t>
  </si>
  <si>
    <t>input — Zendesk Copilot add-on $50 per agent per month (annual); Intercom Copilot $29 annual / $35 monthly (web search 2026-10-30, third-party summaries — confirm on the vendors' pages). We take the higher figure, USD read as EUR. A copilot is priced per seat, not per resolution, so rows 22–24 were adapted.</t>
  </si>
  <si>
    <t>Agent seats (base)</t>
  </si>
  <si>
    <t>seats</t>
  </si>
  <si>
    <t>Annual vendor fees</t>
  </si>
  <si>
    <t>price × seats × 12</t>
  </si>
  <si>
    <t>Your own AI handling cost (tokens, retries)</t>
  </si>
  <si>
    <t>from Upside</t>
  </si>
  <si>
    <t>Integration (amortised) + evaluation + re-evaluation</t>
  </si>
  <si>
    <t>from Decision — the build-specific fixed lines</t>
  </si>
  <si>
    <t>Running it yourself — comparable cost</t>
  </si>
  <si>
    <t>supervision and monitoring stay in both options, so they are left out</t>
  </si>
  <si>
    <t>Buying is cheaper by</t>
  </si>
  <si>
    <t>negative = running it yourself is cheaper. Read with care: a vendor copilot covers only part of the value (no ledger match), so buying still needs our integration and the same evals — this is a floor on the vendor's fee, not on its total cost.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</si>
</sst>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;\-"/>
    <numFmt numFmtId="165" formatCode="\€#,##0.00;&quot;(€&quot;#,##0.00\);\-"/>
    <numFmt numFmtId="166" formatCode="0.0"/>
    <numFmt numFmtId="167" formatCode="0.0%;\(0.0%\);\-"/>
    <numFmt numFmtId="168" formatCode="\€#,##0;&quot;(€&quot;#,##0\);\-"/>
    <numFmt numFmtId="169" formatCode="#,##0.00;\(#,##0.00\);\-"/>
    <numFmt numFmtId="170" formatCode="\€#,##0.00"/>
  </numFmts>
  <fonts count="26" x14ac:knownFonts="1">
    <font>
      <sz val="11"/>
      <color theme="1"/>
      <name val="Calibri"/>
      <family val="2"/>
      <charset val="1"/>
    </font>
    <font>
      <b/>
      <sz val="16"/>
      <color rgb="FF202448"/>
      <name val="Arial"/>
      <charset val="1"/>
    </font>
    <font>
      <b/>
      <sz val="12"/>
      <color rgb="FF035CA0"/>
      <name val="Arial"/>
      <charset val="1"/>
    </font>
    <font>
      <sz val="11"/>
      <color rgb="FF1F2937"/>
      <name val="Arial"/>
      <charset val="1"/>
    </font>
    <font>
      <b/>
      <sz val="11"/>
      <color rgb="FFFFFFFF"/>
      <name val="Arial"/>
      <charset val="1"/>
    </font>
    <font>
      <b/>
      <sz val="11"/>
      <color rgb="FF202448"/>
      <name val="Arial"/>
      <charset val="1"/>
    </font>
    <font>
      <i/>
      <sz val="11"/>
      <color rgb="FF6B7280"/>
      <name val="Arial"/>
      <charset val="1"/>
    </font>
    <font>
      <b/>
      <sz val="14"/>
      <color rgb="FF202448"/>
      <name val="Arial"/>
      <charset val="1"/>
    </font>
    <font>
      <i/>
      <sz val="9"/>
      <color rgb="FF6B7280"/>
      <name val="Arial"/>
      <charset val="1"/>
    </font>
    <font>
      <b/>
      <sz val="10"/>
      <color rgb="FFFFFFFF"/>
      <name val="Arial"/>
      <charset val="1"/>
    </font>
    <font>
      <b/>
      <sz val="11"/>
      <color rgb="FF035CA0"/>
      <name val="Arial"/>
      <charset val="1"/>
    </font>
    <font>
      <sz val="10"/>
      <color rgb="FF000000"/>
      <name val="Arial"/>
      <charset val="1"/>
    </font>
    <font>
      <sz val="11"/>
      <color rgb="FF0000FF"/>
      <name val="Arial"/>
      <charset val="1"/>
    </font>
    <font>
      <sz val="9"/>
      <color rgb="FF6B7280"/>
      <name val="Arial"/>
      <charset val="1"/>
    </font>
    <font>
      <b/>
      <sz val="10"/>
      <name val="Arial"/>
      <charset val="1"/>
    </font>
    <font>
      <sz val="10"/>
      <color rgb="FF008000"/>
      <name val="Arial"/>
      <charset val="1"/>
    </font>
    <font>
      <b/>
      <sz val="10"/>
      <color rgb="FF000000"/>
      <name val="Arial"/>
      <charset val="1"/>
    </font>
    <font>
      <b/>
      <sz val="11"/>
      <name val="Arial"/>
      <charset val="1"/>
    </font>
    <font>
      <b/>
      <sz val="10"/>
      <color rgb="FF035CA0"/>
      <name val="Arial"/>
      <charset val="1"/>
    </font>
    <font>
      <sz val="10"/>
      <color rgb="FF0000FF"/>
      <name val="Arial"/>
      <charset val="1"/>
    </font>
    <font>
      <sz val="11"/>
      <color theme="1"/>
      <name val="Arial"/>
      <family val="2"/>
      <charset val="1"/>
    </font>
    <font>
      <b/>
      <sz val="11"/>
      <color rgb="FF2EAEE0"/>
      <name val="Arial"/>
      <charset val="1"/>
    </font>
    <font>
      <sz val="11"/>
      <color rgb="FF202448"/>
      <name val="Arial"/>
      <charset val="1"/>
    </font>
    <font>
      <sz val="11"/>
      <color rgb="FF6B7280"/>
      <name val="Arial"/>
      <charset val="1"/>
    </font>
    <font>
      <sz val="11"/>
      <color rgb="FF008000"/>
      <name val="Arial"/>
      <charset val="1"/>
    </font>
    <font>
      <b/>
      <sz val="11"/>
      <color rgb="FF00000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202448"/>
        <bgColor rgb="FF1F2937"/>
      </patternFill>
    </fill>
    <fill>
      <patternFill patternType="solid">
        <fgColor rgb="FFF5F7FB"/>
        <bgColor rgb="FFFFFFFF"/>
      </patternFill>
    </fill>
    <fill>
      <patternFill patternType="solid">
        <fgColor rgb="FFFFF2CC"/>
        <bgColor rgb="FFF5F7FB"/>
      </patternFill>
    </fill>
    <fill>
      <patternFill patternType="solid">
        <fgColor rgb="FFEAEFF6"/>
        <bgColor rgb="FFF5F7FB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D5DBE8"/>
      </left>
      <right style="thin">
        <color rgb="FFD5DBE8"/>
      </right>
      <top style="thin">
        <color rgb="FFD5DBE8"/>
      </top>
      <bottom style="thin">
        <color rgb="FFD5DBE8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7" fillId="0" borderId="0" xfId="0" applyFont="1"/>
    <xf numFmtId="0" fontId="9" fillId="2" borderId="1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164" fontId="12" fillId="4" borderId="1" xfId="0" applyNumberFormat="1" applyFont="1" applyFill="1" applyBorder="1"/>
    <xf numFmtId="0" fontId="11" fillId="4" borderId="0" xfId="0" applyFont="1" applyFill="1"/>
    <xf numFmtId="0" fontId="13" fillId="0" borderId="0" xfId="0" applyFont="1" applyAlignment="1">
      <alignment wrapText="1"/>
    </xf>
    <xf numFmtId="164" fontId="6" fillId="0" borderId="0" xfId="0" applyNumberFormat="1" applyFont="1"/>
    <xf numFmtId="0" fontId="14" fillId="0" borderId="0" xfId="0" applyFont="1"/>
    <xf numFmtId="165" fontId="12" fillId="4" borderId="1" xfId="0" applyNumberFormat="1" applyFont="1" applyFill="1" applyBorder="1"/>
    <xf numFmtId="165" fontId="6" fillId="0" borderId="0" xfId="0" applyNumberFormat="1" applyFont="1"/>
    <xf numFmtId="165" fontId="11" fillId="0" borderId="1" xfId="0" applyNumberFormat="1" applyFont="1" applyBorder="1"/>
    <xf numFmtId="0" fontId="13" fillId="0" borderId="0" xfId="0" applyFont="1"/>
    <xf numFmtId="166" fontId="11" fillId="0" borderId="1" xfId="0" applyNumberFormat="1" applyFont="1" applyBorder="1"/>
    <xf numFmtId="0" fontId="12" fillId="4" borderId="0" xfId="0" applyFont="1" applyFill="1"/>
    <xf numFmtId="167" fontId="12" fillId="4" borderId="1" xfId="0" applyNumberFormat="1" applyFont="1" applyFill="1" applyBorder="1"/>
    <xf numFmtId="167" fontId="6" fillId="0" borderId="0" xfId="0" applyNumberFormat="1" applyFont="1"/>
    <xf numFmtId="168" fontId="12" fillId="4" borderId="1" xfId="0" applyNumberFormat="1" applyFont="1" applyFill="1" applyBorder="1"/>
    <xf numFmtId="168" fontId="6" fillId="0" borderId="0" xfId="0" applyNumberFormat="1" applyFont="1"/>
    <xf numFmtId="169" fontId="12" fillId="4" borderId="1" xfId="0" applyNumberFormat="1" applyFont="1" applyFill="1" applyBorder="1"/>
    <xf numFmtId="169" fontId="6" fillId="0" borderId="0" xfId="0" applyNumberFormat="1" applyFont="1"/>
    <xf numFmtId="169" fontId="11" fillId="0" borderId="1" xfId="0" applyNumberFormat="1" applyFont="1" applyBorder="1"/>
    <xf numFmtId="0" fontId="3" fillId="0" borderId="0" xfId="0" applyFont="1"/>
    <xf numFmtId="168" fontId="12" fillId="4" borderId="0" xfId="0" applyNumberFormat="1" applyFont="1" applyFill="1"/>
    <xf numFmtId="0" fontId="6" fillId="0" borderId="0" xfId="0" applyFont="1"/>
    <xf numFmtId="0" fontId="8" fillId="0" borderId="0" xfId="0" applyFont="1"/>
    <xf numFmtId="167" fontId="15" fillId="0" borderId="1" xfId="0" applyNumberFormat="1" applyFont="1" applyBorder="1"/>
    <xf numFmtId="164" fontId="15" fillId="0" borderId="1" xfId="0" applyNumberFormat="1" applyFont="1" applyBorder="1"/>
    <xf numFmtId="164" fontId="11" fillId="0" borderId="1" xfId="0" applyNumberFormat="1" applyFont="1" applyBorder="1"/>
    <xf numFmtId="168" fontId="11" fillId="0" borderId="1" xfId="0" applyNumberFormat="1" applyFont="1" applyBorder="1"/>
    <xf numFmtId="168" fontId="16" fillId="0" borderId="1" xfId="0" applyNumberFormat="1" applyFont="1" applyBorder="1"/>
    <xf numFmtId="167" fontId="11" fillId="0" borderId="1" xfId="0" applyNumberFormat="1" applyFont="1" applyBorder="1"/>
    <xf numFmtId="168" fontId="15" fillId="0" borderId="1" xfId="0" applyNumberFormat="1" applyFont="1" applyBorder="1"/>
    <xf numFmtId="169" fontId="15" fillId="0" borderId="1" xfId="0" applyNumberFormat="1" applyFont="1" applyBorder="1"/>
    <xf numFmtId="168" fontId="17" fillId="5" borderId="1" xfId="0" applyNumberFormat="1" applyFont="1" applyFill="1" applyBorder="1"/>
    <xf numFmtId="0" fontId="11" fillId="0" borderId="1" xfId="0" applyFont="1" applyBorder="1"/>
    <xf numFmtId="167" fontId="19" fillId="0" borderId="1" xfId="0" applyNumberFormat="1" applyFont="1" applyBorder="1"/>
    <xf numFmtId="0" fontId="20" fillId="0" borderId="0" xfId="0" applyFont="1"/>
    <xf numFmtId="0" fontId="4" fillId="2" borderId="0" xfId="0" applyFont="1" applyFill="1" applyAlignment="1">
      <alignment vertical="center" wrapText="1"/>
    </xf>
    <xf numFmtId="0" fontId="21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9" fontId="12" fillId="4" borderId="0" xfId="0" applyNumberFormat="1" applyFont="1" applyFill="1" applyAlignment="1">
      <alignment horizontal="center" vertical="top"/>
    </xf>
    <xf numFmtId="0" fontId="12" fillId="4" borderId="0" xfId="0" applyFont="1" applyFill="1" applyAlignment="1">
      <alignment horizontal="center" vertical="top"/>
    </xf>
    <xf numFmtId="0" fontId="20" fillId="4" borderId="0" xfId="0" applyFont="1" applyFill="1" applyAlignment="1">
      <alignment vertical="top" wrapText="1"/>
    </xf>
    <xf numFmtId="9" fontId="20" fillId="0" borderId="0" xfId="0" applyNumberFormat="1" applyFont="1"/>
    <xf numFmtId="0" fontId="5" fillId="0" borderId="0" xfId="0" applyFont="1"/>
    <xf numFmtId="166" fontId="5" fillId="0" borderId="0" xfId="0" applyNumberFormat="1" applyFont="1" applyAlignment="1">
      <alignment horizontal="center"/>
    </xf>
    <xf numFmtId="0" fontId="22" fillId="0" borderId="0" xfId="0" applyFont="1"/>
    <xf numFmtId="170" fontId="12" fillId="4" borderId="0" xfId="0" applyNumberFormat="1" applyFont="1" applyFill="1"/>
    <xf numFmtId="0" fontId="23" fillId="0" borderId="0" xfId="0" applyFont="1"/>
    <xf numFmtId="164" fontId="24" fillId="0" borderId="0" xfId="0" applyNumberFormat="1" applyFont="1"/>
    <xf numFmtId="164" fontId="25" fillId="0" borderId="0" xfId="0" applyNumberFormat="1" applyFont="1"/>
    <xf numFmtId="0" fontId="13" fillId="0" borderId="0" xfId="0" applyFont="1" applyAlignment="1">
      <alignment vertical="top"/>
    </xf>
    <xf numFmtId="3" fontId="24" fillId="0" borderId="0" xfId="0" applyNumberFormat="1" applyFont="1"/>
    <xf numFmtId="0" fontId="3" fillId="0" borderId="0" xfId="0" applyFont="1" applyAlignment="1">
      <alignment vertical="top" wrapText="1"/>
    </xf>
    <xf numFmtId="0" fontId="0" fillId="0" borderId="0" xfId="0"/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0" borderId="0" xfId="0" applyFont="1" applyAlignment="1">
      <alignment wrapText="1"/>
    </xf>
    <xf numFmtId="0" fontId="8" fillId="0" borderId="0" xfId="0" applyFont="1" applyAlignment="1">
      <alignment vertical="top" wrapText="1"/>
    </xf>
    <xf numFmtId="0" fontId="18" fillId="6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EFF6"/>
      <rgbColor rgb="FF660066"/>
      <rgbColor rgb="FFFF8080"/>
      <rgbColor rgb="FF035CA0"/>
      <rgbColor rgb="FFD5DB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7FB"/>
      <rgbColor rgb="FFCCFFCC"/>
      <rgbColor rgb="FFFFFF99"/>
      <rgbColor rgb="FF99CCFF"/>
      <rgbColor rgb="FFFF99CC"/>
      <rgbColor rgb="FFCC99FF"/>
      <rgbColor rgb="FFFFCC99"/>
      <rgbColor rgb="FF3366FF"/>
      <rgbColor rgb="FF2EAEE0"/>
      <rgbColor rgb="FF99CC00"/>
      <rgbColor rgb="FFFFCC00"/>
      <rgbColor rgb="FFFF9900"/>
      <rgbColor rgb="FFFF6600"/>
      <rgbColor rgb="FF6B7280"/>
      <rgbColor rgb="FF969696"/>
      <rgbColor rgb="FF202448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51"/>
  <sheetViews>
    <sheetView showGridLines="0" topLeftCell="A40" zoomScaleNormal="100" workbookViewId="0"/>
  </sheetViews>
  <sheetFormatPr baseColWidth="10" defaultColWidth="8.6640625" defaultRowHeight="14.4" x14ac:dyDescent="0.3"/>
  <cols>
    <col min="1" max="1" width="3" customWidth="1"/>
    <col min="2" max="2" width="30" customWidth="1"/>
    <col min="3" max="3" width="26" customWidth="1"/>
    <col min="4" max="5" width="62" customWidth="1"/>
  </cols>
  <sheetData>
    <row r="2" spans="2:5" ht="24" customHeight="1" x14ac:dyDescent="0.3">
      <c r="B2" s="64" t="s">
        <v>0</v>
      </c>
      <c r="C2" s="62"/>
      <c r="D2" s="62"/>
      <c r="E2" s="62"/>
    </row>
    <row r="4" spans="2:5" ht="15" customHeight="1" x14ac:dyDescent="0.3">
      <c r="B4" s="63" t="s">
        <v>1</v>
      </c>
      <c r="C4" s="62"/>
      <c r="D4" s="62"/>
      <c r="E4" s="62"/>
    </row>
    <row r="5" spans="2:5" ht="48" customHeight="1" x14ac:dyDescent="0.3">
      <c r="B5" s="61" t="s">
        <v>2</v>
      </c>
      <c r="C5" s="62"/>
      <c r="D5" s="62"/>
      <c r="E5" s="62"/>
    </row>
    <row r="7" spans="2:5" ht="15" customHeight="1" x14ac:dyDescent="0.3">
      <c r="B7" s="63" t="s">
        <v>3</v>
      </c>
      <c r="C7" s="62"/>
      <c r="D7" s="62"/>
      <c r="E7" s="62"/>
    </row>
    <row r="8" spans="2:5" ht="48" customHeight="1" x14ac:dyDescent="0.3">
      <c r="B8" s="61" t="s">
        <v>4</v>
      </c>
      <c r="C8" s="62"/>
      <c r="D8" s="62"/>
      <c r="E8" s="62"/>
    </row>
    <row r="10" spans="2:5" ht="15" customHeight="1" x14ac:dyDescent="0.3">
      <c r="B10" s="63" t="s">
        <v>5</v>
      </c>
      <c r="C10" s="62"/>
      <c r="D10" s="62"/>
      <c r="E10" s="62"/>
    </row>
    <row r="11" spans="2:5" ht="48" customHeight="1" x14ac:dyDescent="0.3">
      <c r="B11" s="61" t="s">
        <v>6</v>
      </c>
      <c r="C11" s="62"/>
      <c r="D11" s="62"/>
      <c r="E11" s="62"/>
    </row>
    <row r="13" spans="2:5" ht="15" customHeight="1" x14ac:dyDescent="0.3">
      <c r="B13" s="63" t="s">
        <v>7</v>
      </c>
      <c r="C13" s="62"/>
      <c r="D13" s="62"/>
      <c r="E13" s="62"/>
    </row>
    <row r="14" spans="2:5" ht="15" customHeight="1" x14ac:dyDescent="0.3">
      <c r="B14" s="2" t="s">
        <v>8</v>
      </c>
      <c r="C14" s="2" t="s">
        <v>9</v>
      </c>
      <c r="D14" s="2" t="s">
        <v>10</v>
      </c>
      <c r="E14" s="2" t="s">
        <v>11</v>
      </c>
    </row>
    <row r="15" spans="2:5" ht="33.75" customHeight="1" x14ac:dyDescent="0.3">
      <c r="B15" s="3" t="s">
        <v>12</v>
      </c>
      <c r="C15" s="1" t="s">
        <v>13</v>
      </c>
      <c r="D15" s="1" t="s">
        <v>14</v>
      </c>
      <c r="E15" s="1" t="s">
        <v>15</v>
      </c>
    </row>
    <row r="16" spans="2:5" ht="60" customHeight="1" x14ac:dyDescent="0.3">
      <c r="B16" s="4" t="s">
        <v>16</v>
      </c>
      <c r="C16" s="5" t="s">
        <v>17</v>
      </c>
      <c r="D16" s="5" t="s">
        <v>18</v>
      </c>
      <c r="E16" s="5" t="s">
        <v>19</v>
      </c>
    </row>
    <row r="17" spans="2:5" ht="33.75" customHeight="1" x14ac:dyDescent="0.3">
      <c r="B17" s="3" t="s">
        <v>20</v>
      </c>
      <c r="C17" s="1" t="s">
        <v>21</v>
      </c>
      <c r="D17" s="1" t="s">
        <v>22</v>
      </c>
      <c r="E17" s="1" t="s">
        <v>23</v>
      </c>
    </row>
    <row r="18" spans="2:5" ht="33.75" customHeight="1" x14ac:dyDescent="0.3">
      <c r="B18" s="4" t="s">
        <v>24</v>
      </c>
      <c r="C18" s="5" t="s">
        <v>25</v>
      </c>
      <c r="D18" s="5" t="s">
        <v>26</v>
      </c>
      <c r="E18" s="5" t="s">
        <v>27</v>
      </c>
    </row>
    <row r="19" spans="2:5" ht="45.75" customHeight="1" x14ac:dyDescent="0.3">
      <c r="B19" s="3" t="s">
        <v>28</v>
      </c>
      <c r="C19" s="1" t="s">
        <v>29</v>
      </c>
      <c r="D19" s="1" t="s">
        <v>30</v>
      </c>
      <c r="E19" s="1" t="s">
        <v>31</v>
      </c>
    </row>
    <row r="20" spans="2:5" ht="30" customHeight="1" x14ac:dyDescent="0.3">
      <c r="B20" s="4" t="s">
        <v>32</v>
      </c>
      <c r="C20" s="5" t="s">
        <v>33</v>
      </c>
      <c r="D20" s="5" t="s">
        <v>34</v>
      </c>
      <c r="E20" s="5" t="s">
        <v>35</v>
      </c>
    </row>
    <row r="21" spans="2:5" ht="33.75" customHeight="1" x14ac:dyDescent="0.3">
      <c r="B21" s="3" t="s">
        <v>36</v>
      </c>
      <c r="C21" s="1" t="s">
        <v>37</v>
      </c>
      <c r="D21" s="1" t="s">
        <v>38</v>
      </c>
      <c r="E21" s="1" t="s">
        <v>39</v>
      </c>
    </row>
    <row r="22" spans="2:5" ht="30" customHeight="1" x14ac:dyDescent="0.3">
      <c r="B22" s="4" t="s">
        <v>40</v>
      </c>
      <c r="C22" s="5" t="s">
        <v>41</v>
      </c>
      <c r="D22" s="5" t="s">
        <v>42</v>
      </c>
      <c r="E22" s="5" t="s">
        <v>43</v>
      </c>
    </row>
    <row r="23" spans="2:5" ht="33.75" customHeight="1" x14ac:dyDescent="0.3">
      <c r="B23" s="3" t="s">
        <v>44</v>
      </c>
      <c r="C23" s="1" t="s">
        <v>45</v>
      </c>
      <c r="D23" s="1" t="s">
        <v>46</v>
      </c>
      <c r="E23" s="1" t="s">
        <v>47</v>
      </c>
    </row>
    <row r="24" spans="2:5" ht="45.75" customHeight="1" x14ac:dyDescent="0.3">
      <c r="B24" s="4" t="s">
        <v>48</v>
      </c>
      <c r="C24" s="5" t="s">
        <v>49</v>
      </c>
      <c r="D24" s="5" t="s">
        <v>50</v>
      </c>
      <c r="E24" s="5" t="s">
        <v>51</v>
      </c>
    </row>
    <row r="25" spans="2:5" ht="30" customHeight="1" x14ac:dyDescent="0.3">
      <c r="B25" s="3" t="s">
        <v>52</v>
      </c>
      <c r="C25" s="1" t="s">
        <v>53</v>
      </c>
      <c r="D25" s="1" t="s">
        <v>54</v>
      </c>
      <c r="E25" s="1" t="s">
        <v>55</v>
      </c>
    </row>
    <row r="26" spans="2:5" ht="45.75" customHeight="1" x14ac:dyDescent="0.3">
      <c r="B26" s="4" t="s">
        <v>56</v>
      </c>
      <c r="C26" s="5" t="s">
        <v>57</v>
      </c>
      <c r="D26" s="5" t="s">
        <v>58</v>
      </c>
      <c r="E26" s="5" t="s">
        <v>59</v>
      </c>
    </row>
    <row r="27" spans="2:5" ht="45.75" customHeight="1" x14ac:dyDescent="0.3">
      <c r="B27" s="3" t="s">
        <v>60</v>
      </c>
      <c r="C27" s="1" t="s">
        <v>61</v>
      </c>
      <c r="D27" s="1" t="s">
        <v>62</v>
      </c>
      <c r="E27" s="1" t="s">
        <v>63</v>
      </c>
    </row>
    <row r="28" spans="2:5" ht="30" customHeight="1" x14ac:dyDescent="0.3">
      <c r="B28" s="4" t="s">
        <v>64</v>
      </c>
      <c r="C28" s="5" t="s">
        <v>65</v>
      </c>
      <c r="D28" s="5" t="s">
        <v>66</v>
      </c>
      <c r="E28" s="5" t="s">
        <v>67</v>
      </c>
    </row>
    <row r="30" spans="2:5" ht="15" customHeight="1" x14ac:dyDescent="0.3">
      <c r="B30" s="63" t="s">
        <v>68</v>
      </c>
      <c r="C30" s="62"/>
      <c r="D30" s="62"/>
      <c r="E30" s="62"/>
    </row>
    <row r="31" spans="2:5" ht="15" customHeight="1" x14ac:dyDescent="0.3">
      <c r="B31" s="2" t="s">
        <v>69</v>
      </c>
      <c r="C31" s="2" t="s">
        <v>70</v>
      </c>
      <c r="D31" s="2" t="s">
        <v>71</v>
      </c>
      <c r="E31" s="2" t="s">
        <v>72</v>
      </c>
    </row>
    <row r="32" spans="2:5" ht="60" customHeight="1" x14ac:dyDescent="0.3">
      <c r="B32" s="3" t="s">
        <v>73</v>
      </c>
      <c r="C32" s="1" t="s">
        <v>74</v>
      </c>
      <c r="D32" s="1" t="s">
        <v>75</v>
      </c>
      <c r="E32" s="1" t="s">
        <v>76</v>
      </c>
    </row>
    <row r="33" spans="2:5" ht="60" customHeight="1" x14ac:dyDescent="0.3">
      <c r="B33" s="4" t="s">
        <v>77</v>
      </c>
      <c r="C33" s="5" t="s">
        <v>78</v>
      </c>
      <c r="D33" s="5" t="s">
        <v>79</v>
      </c>
      <c r="E33" s="5" t="s">
        <v>80</v>
      </c>
    </row>
    <row r="34" spans="2:5" ht="60" customHeight="1" x14ac:dyDescent="0.3">
      <c r="B34" s="3" t="s">
        <v>81</v>
      </c>
      <c r="C34" s="1" t="s">
        <v>82</v>
      </c>
      <c r="D34" s="1" t="s">
        <v>83</v>
      </c>
      <c r="E34" s="1" t="s">
        <v>84</v>
      </c>
    </row>
    <row r="35" spans="2:5" ht="60" customHeight="1" x14ac:dyDescent="0.3">
      <c r="B35" s="4" t="s">
        <v>85</v>
      </c>
      <c r="C35" s="5" t="s">
        <v>86</v>
      </c>
      <c r="D35" s="5" t="s">
        <v>87</v>
      </c>
      <c r="E35" s="5" t="s">
        <v>88</v>
      </c>
    </row>
    <row r="36" spans="2:5" ht="60" customHeight="1" x14ac:dyDescent="0.3">
      <c r="B36" s="3" t="s">
        <v>89</v>
      </c>
      <c r="C36" s="1" t="s">
        <v>90</v>
      </c>
      <c r="D36" s="1" t="s">
        <v>91</v>
      </c>
      <c r="E36" s="1" t="s">
        <v>92</v>
      </c>
    </row>
    <row r="37" spans="2:5" ht="60" customHeight="1" x14ac:dyDescent="0.3">
      <c r="B37" s="4" t="s">
        <v>93</v>
      </c>
      <c r="C37" s="5" t="s">
        <v>94</v>
      </c>
      <c r="D37" s="5" t="s">
        <v>95</v>
      </c>
      <c r="E37" s="5" t="s">
        <v>96</v>
      </c>
    </row>
    <row r="38" spans="2:5" ht="60" customHeight="1" x14ac:dyDescent="0.3">
      <c r="B38" s="3" t="s">
        <v>97</v>
      </c>
      <c r="C38" s="1" t="s">
        <v>98</v>
      </c>
      <c r="D38" s="1" t="s">
        <v>99</v>
      </c>
      <c r="E38" s="1" t="s">
        <v>100</v>
      </c>
    </row>
    <row r="39" spans="2:5" ht="60" customHeight="1" x14ac:dyDescent="0.3">
      <c r="B39" s="4" t="s">
        <v>101</v>
      </c>
      <c r="C39" s="5" t="s">
        <v>102</v>
      </c>
      <c r="D39" s="5" t="s">
        <v>103</v>
      </c>
      <c r="E39" s="5" t="s">
        <v>104</v>
      </c>
    </row>
    <row r="40" spans="2:5" ht="60" customHeight="1" x14ac:dyDescent="0.3">
      <c r="B40" s="3" t="s">
        <v>105</v>
      </c>
      <c r="C40" s="1" t="s">
        <v>106</v>
      </c>
      <c r="D40" s="1" t="s">
        <v>107</v>
      </c>
      <c r="E40" s="1" t="s">
        <v>108</v>
      </c>
    </row>
    <row r="42" spans="2:5" ht="15" customHeight="1" x14ac:dyDescent="0.3">
      <c r="B42" s="63" t="s">
        <v>109</v>
      </c>
      <c r="C42" s="62"/>
      <c r="D42" s="62"/>
      <c r="E42" s="62"/>
    </row>
    <row r="43" spans="2:5" ht="33.75" customHeight="1" x14ac:dyDescent="0.3">
      <c r="B43" s="61" t="s">
        <v>110</v>
      </c>
      <c r="C43" s="62"/>
      <c r="D43" s="62"/>
      <c r="E43" s="62"/>
    </row>
    <row r="44" spans="2:5" ht="15" customHeight="1" x14ac:dyDescent="0.3">
      <c r="B44" s="2" t="s">
        <v>72</v>
      </c>
      <c r="C44" s="2" t="s">
        <v>111</v>
      </c>
      <c r="D44" s="2" t="s">
        <v>112</v>
      </c>
      <c r="E44" s="2" t="s">
        <v>113</v>
      </c>
    </row>
    <row r="45" spans="2:5" ht="48" customHeight="1" x14ac:dyDescent="0.3">
      <c r="B45" s="3" t="s">
        <v>114</v>
      </c>
      <c r="C45" s="1" t="s">
        <v>115</v>
      </c>
      <c r="D45" s="1" t="s">
        <v>116</v>
      </c>
      <c r="E45" s="1" t="s">
        <v>117</v>
      </c>
    </row>
    <row r="46" spans="2:5" ht="48" customHeight="1" x14ac:dyDescent="0.3">
      <c r="B46" s="4" t="s">
        <v>80</v>
      </c>
      <c r="C46" s="5" t="s">
        <v>118</v>
      </c>
      <c r="D46" s="5" t="s">
        <v>119</v>
      </c>
      <c r="E46" s="5" t="s">
        <v>120</v>
      </c>
    </row>
    <row r="47" spans="2:5" ht="48" customHeight="1" x14ac:dyDescent="0.3">
      <c r="B47" s="3" t="s">
        <v>121</v>
      </c>
      <c r="C47" s="1" t="s">
        <v>122</v>
      </c>
      <c r="D47" s="1" t="s">
        <v>123</v>
      </c>
      <c r="E47" s="1" t="s">
        <v>124</v>
      </c>
    </row>
    <row r="48" spans="2:5" ht="48" customHeight="1" x14ac:dyDescent="0.3">
      <c r="B48" s="4" t="s">
        <v>125</v>
      </c>
      <c r="C48" s="5" t="s">
        <v>126</v>
      </c>
      <c r="D48" s="5" t="s">
        <v>127</v>
      </c>
      <c r="E48" s="5" t="s">
        <v>128</v>
      </c>
    </row>
    <row r="49" spans="2:5" ht="48" customHeight="1" x14ac:dyDescent="0.3">
      <c r="B49" s="3" t="s">
        <v>129</v>
      </c>
      <c r="C49" s="1" t="s">
        <v>130</v>
      </c>
      <c r="D49" s="1" t="s">
        <v>131</v>
      </c>
      <c r="E49" s="1" t="s">
        <v>132</v>
      </c>
    </row>
    <row r="51" spans="2:5" ht="15" customHeight="1" x14ac:dyDescent="0.3">
      <c r="B51" s="65" t="s">
        <v>133</v>
      </c>
      <c r="C51" s="62"/>
      <c r="D51" s="62"/>
      <c r="E51" s="62"/>
    </row>
  </sheetData>
  <mergeCells count="12">
    <mergeCell ref="B2:E2"/>
    <mergeCell ref="B51:E51"/>
    <mergeCell ref="B10:E10"/>
    <mergeCell ref="B42:E42"/>
    <mergeCell ref="B8:E8"/>
    <mergeCell ref="B4:E4"/>
    <mergeCell ref="B43:E43"/>
    <mergeCell ref="B13:E13"/>
    <mergeCell ref="B30:E30"/>
    <mergeCell ref="B7:E7"/>
    <mergeCell ref="B11:E11"/>
    <mergeCell ref="B5:E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8"/>
  <sheetViews>
    <sheetView zoomScaleNormal="100" workbookViewId="0">
      <pane ySplit="4" topLeftCell="A39" activePane="bottomLeft" state="frozen"/>
      <selection pane="bottomLeft"/>
    </sheetView>
  </sheetViews>
  <sheetFormatPr baseColWidth="10" defaultColWidth="8.6640625" defaultRowHeight="14.4" x14ac:dyDescent="0.3"/>
  <cols>
    <col min="1" max="1" width="46" customWidth="1"/>
    <col min="2" max="2" width="12" customWidth="1"/>
    <col min="3" max="5" width="13" customWidth="1"/>
    <col min="6" max="6" width="16" customWidth="1"/>
    <col min="7" max="7" width="70" customWidth="1"/>
    <col min="8" max="8" width="22" customWidth="1"/>
  </cols>
  <sheetData>
    <row r="1" spans="1:8" ht="17.25" customHeight="1" x14ac:dyDescent="0.3">
      <c r="A1" s="6" t="s">
        <v>134</v>
      </c>
    </row>
    <row r="2" spans="1:8" ht="30" customHeight="1" x14ac:dyDescent="0.3">
      <c r="A2" s="67" t="s">
        <v>135</v>
      </c>
      <c r="B2" s="62"/>
      <c r="C2" s="62"/>
      <c r="D2" s="62"/>
      <c r="E2" s="62"/>
      <c r="F2" s="62"/>
      <c r="G2" s="62"/>
    </row>
    <row r="3" spans="1:8" ht="42" customHeight="1" x14ac:dyDescent="0.3">
      <c r="A3" s="66" t="s">
        <v>136</v>
      </c>
      <c r="B3" s="62"/>
      <c r="C3" s="62"/>
      <c r="D3" s="62"/>
      <c r="E3" s="62"/>
      <c r="F3" s="62"/>
      <c r="G3" s="62"/>
    </row>
    <row r="4" spans="1:8" ht="27.75" customHeight="1" x14ac:dyDescent="0.3">
      <c r="A4" s="7" t="s">
        <v>137</v>
      </c>
      <c r="B4" s="7" t="s">
        <v>138</v>
      </c>
      <c r="C4" s="7" t="s">
        <v>139</v>
      </c>
      <c r="D4" s="7" t="s">
        <v>140</v>
      </c>
      <c r="E4" s="7" t="s">
        <v>141</v>
      </c>
      <c r="F4" s="7" t="s">
        <v>142</v>
      </c>
      <c r="G4" s="7" t="s">
        <v>143</v>
      </c>
      <c r="H4" s="8" t="s">
        <v>144</v>
      </c>
    </row>
    <row r="5" spans="1:8" ht="15" customHeight="1" x14ac:dyDescent="0.3">
      <c r="A5" s="9" t="s">
        <v>145</v>
      </c>
    </row>
    <row r="6" spans="1:8" ht="52.05" customHeight="1" x14ac:dyDescent="0.3">
      <c r="A6" s="10" t="s">
        <v>146</v>
      </c>
      <c r="B6" s="10" t="s">
        <v>147</v>
      </c>
      <c r="C6" s="11">
        <v>10800</v>
      </c>
      <c r="D6" s="11">
        <v>12000</v>
      </c>
      <c r="E6" s="11">
        <v>13800</v>
      </c>
      <c r="F6" s="12" t="s">
        <v>148</v>
      </c>
      <c r="G6" s="13" t="s">
        <v>149</v>
      </c>
      <c r="H6" s="14">
        <v>40000</v>
      </c>
    </row>
    <row r="7" spans="1:8" ht="39.450000000000003" customHeight="1" x14ac:dyDescent="0.3">
      <c r="A7" s="10" t="s">
        <v>150</v>
      </c>
      <c r="B7" s="10" t="s">
        <v>151</v>
      </c>
      <c r="C7" s="11">
        <v>18</v>
      </c>
      <c r="D7" s="11">
        <v>18</v>
      </c>
      <c r="E7" s="11">
        <v>18</v>
      </c>
      <c r="F7" s="12" t="s">
        <v>152</v>
      </c>
      <c r="G7" s="13" t="s">
        <v>153</v>
      </c>
      <c r="H7" s="14">
        <v>60</v>
      </c>
    </row>
    <row r="8" spans="1:8" ht="64.5" customHeight="1" x14ac:dyDescent="0.3">
      <c r="A8" s="10" t="s">
        <v>154</v>
      </c>
      <c r="B8" s="10" t="s">
        <v>155</v>
      </c>
      <c r="C8" s="11">
        <v>45000</v>
      </c>
      <c r="D8" s="11">
        <v>45000</v>
      </c>
      <c r="E8" s="11">
        <v>45000</v>
      </c>
      <c r="F8" s="12" t="s">
        <v>152</v>
      </c>
      <c r="G8" s="13" t="s">
        <v>156</v>
      </c>
      <c r="H8" s="14">
        <v>45000</v>
      </c>
    </row>
    <row r="9" spans="1:8" ht="102" customHeight="1" x14ac:dyDescent="0.3">
      <c r="A9" s="15" t="s">
        <v>157</v>
      </c>
      <c r="B9" s="10" t="s">
        <v>158</v>
      </c>
      <c r="C9" s="16">
        <v>3.9</v>
      </c>
      <c r="D9" s="16">
        <v>4.7</v>
      </c>
      <c r="E9" s="16">
        <v>5.5</v>
      </c>
      <c r="F9" s="12" t="s">
        <v>148</v>
      </c>
      <c r="G9" s="13" t="s">
        <v>159</v>
      </c>
      <c r="H9" s="17">
        <v>10</v>
      </c>
    </row>
    <row r="10" spans="1:8" ht="15" customHeight="1" x14ac:dyDescent="0.3">
      <c r="A10" s="10" t="s">
        <v>160</v>
      </c>
      <c r="B10" t="s">
        <v>158</v>
      </c>
      <c r="C10" s="18"/>
      <c r="D10" s="18">
        <f>IFERROR(D7*D8/(D6*12),"")</f>
        <v>5.625</v>
      </c>
      <c r="E10" s="18"/>
      <c r="G10" s="19" t="s">
        <v>161</v>
      </c>
    </row>
    <row r="11" spans="1:8" ht="15" customHeight="1" x14ac:dyDescent="0.3">
      <c r="A11" s="10" t="s">
        <v>162</v>
      </c>
      <c r="B11" t="s">
        <v>147</v>
      </c>
      <c r="D11" s="20">
        <f>IFERROR(D6/D7/21,"")</f>
        <v>31.746031746031743</v>
      </c>
      <c r="G11" s="19" t="s">
        <v>163</v>
      </c>
    </row>
    <row r="12" spans="1:8" ht="15" customHeight="1" x14ac:dyDescent="0.3">
      <c r="A12" s="9" t="s">
        <v>164</v>
      </c>
    </row>
    <row r="13" spans="1:8" ht="15" customHeight="1" x14ac:dyDescent="0.3">
      <c r="A13" s="15" t="s">
        <v>165</v>
      </c>
    </row>
    <row r="14" spans="1:8" ht="39.450000000000003" customHeight="1" x14ac:dyDescent="0.3">
      <c r="A14" s="21" t="s">
        <v>166</v>
      </c>
      <c r="B14" s="10" t="s">
        <v>167</v>
      </c>
      <c r="C14" s="22">
        <v>0.45</v>
      </c>
      <c r="D14" s="22">
        <v>0.45</v>
      </c>
      <c r="E14" s="22">
        <v>0.45</v>
      </c>
      <c r="F14" s="12" t="s">
        <v>148</v>
      </c>
      <c r="G14" s="13" t="s">
        <v>168</v>
      </c>
      <c r="H14" s="23">
        <v>0.55000000000000004</v>
      </c>
    </row>
    <row r="15" spans="1:8" ht="15" customHeight="1" x14ac:dyDescent="0.3">
      <c r="A15" s="21" t="s">
        <v>169</v>
      </c>
      <c r="B15" s="10" t="s">
        <v>167</v>
      </c>
      <c r="C15" s="22">
        <v>0.25</v>
      </c>
      <c r="D15" s="22">
        <v>0.25</v>
      </c>
      <c r="E15" s="22">
        <v>0.25</v>
      </c>
      <c r="F15" s="12" t="s">
        <v>148</v>
      </c>
      <c r="G15" s="13" t="s">
        <v>170</v>
      </c>
      <c r="H15" s="23">
        <v>0.3</v>
      </c>
    </row>
    <row r="16" spans="1:8" ht="27" customHeight="1" x14ac:dyDescent="0.3">
      <c r="A16" s="21" t="s">
        <v>171</v>
      </c>
      <c r="B16" s="10" t="s">
        <v>167</v>
      </c>
      <c r="C16" s="22">
        <v>0.3</v>
      </c>
      <c r="D16" s="22">
        <v>0.3</v>
      </c>
      <c r="E16" s="22">
        <v>0.3</v>
      </c>
      <c r="F16" s="12" t="s">
        <v>148</v>
      </c>
      <c r="G16" s="13" t="s">
        <v>172</v>
      </c>
      <c r="H16" s="23">
        <v>0.15</v>
      </c>
    </row>
    <row r="17" spans="1:8" ht="15" customHeight="1" x14ac:dyDescent="0.3">
      <c r="A17" s="15" t="s">
        <v>173</v>
      </c>
    </row>
    <row r="18" spans="1:8" ht="64.5" customHeight="1" x14ac:dyDescent="0.3">
      <c r="A18" s="10" t="str">
        <f>"   "&amp;TRIM($A$14)</f>
        <v xml:space="preserve">   Where is my money (payout, payment status)</v>
      </c>
      <c r="B18" s="10" t="s">
        <v>167</v>
      </c>
      <c r="C18" s="22">
        <v>0.55000000000000004</v>
      </c>
      <c r="D18" s="22">
        <v>0.7</v>
      </c>
      <c r="E18" s="22">
        <v>0.8</v>
      </c>
      <c r="F18" s="12" t="s">
        <v>174</v>
      </c>
      <c r="G18" s="13" t="s">
        <v>175</v>
      </c>
      <c r="H18" s="23">
        <v>0.68</v>
      </c>
    </row>
    <row r="19" spans="1:8" ht="27" customHeight="1" x14ac:dyDescent="0.3">
      <c r="A19" s="10" t="str">
        <f>"   "&amp;TRIM($A$15)</f>
        <v xml:space="preserve">   Disputes &amp; chargebacks</v>
      </c>
      <c r="B19" s="10" t="s">
        <v>167</v>
      </c>
      <c r="C19" s="22">
        <v>0.4</v>
      </c>
      <c r="D19" s="22">
        <v>0.55000000000000004</v>
      </c>
      <c r="E19" s="22">
        <v>0.65</v>
      </c>
      <c r="F19" s="12" t="s">
        <v>174</v>
      </c>
      <c r="G19" s="13" t="s">
        <v>176</v>
      </c>
      <c r="H19" s="23">
        <v>0.15</v>
      </c>
    </row>
    <row r="20" spans="1:8" ht="27" customHeight="1" x14ac:dyDescent="0.3">
      <c r="A20" s="10" t="str">
        <f>"   "&amp;TRIM($A$16)</f>
        <v xml:space="preserve">   Other (account, KYC / onboarding, fees)</v>
      </c>
      <c r="B20" s="10" t="s">
        <v>167</v>
      </c>
      <c r="C20" s="22">
        <v>0.2</v>
      </c>
      <c r="D20" s="22">
        <v>0.3</v>
      </c>
      <c r="E20" s="22">
        <v>0.4</v>
      </c>
      <c r="F20" s="12" t="s">
        <v>174</v>
      </c>
      <c r="G20" s="13" t="s">
        <v>177</v>
      </c>
      <c r="H20" s="23">
        <v>0.35</v>
      </c>
    </row>
    <row r="21" spans="1:8" ht="15" customHeight="1" x14ac:dyDescent="0.3">
      <c r="A21" s="15" t="s">
        <v>178</v>
      </c>
    </row>
    <row r="22" spans="1:8" ht="102" customHeight="1" x14ac:dyDescent="0.3">
      <c r="A22" s="15" t="str">
        <f>"   "&amp;TRIM($A$14)</f>
        <v xml:space="preserve">   Where is my money (payout, payment status)</v>
      </c>
      <c r="B22" s="10" t="s">
        <v>167</v>
      </c>
      <c r="C22" s="22">
        <v>0.22</v>
      </c>
      <c r="D22" s="22">
        <v>0.27</v>
      </c>
      <c r="E22" s="22">
        <v>0.35</v>
      </c>
      <c r="F22" s="12" t="s">
        <v>174</v>
      </c>
      <c r="G22" s="13" t="s">
        <v>179</v>
      </c>
      <c r="H22" s="23" t="s">
        <v>180</v>
      </c>
    </row>
    <row r="23" spans="1:8" ht="27" customHeight="1" x14ac:dyDescent="0.3">
      <c r="A23" s="15" t="str">
        <f>"   "&amp;TRIM($A$15)</f>
        <v xml:space="preserve">   Disputes &amp; chargebacks</v>
      </c>
      <c r="B23" s="10" t="s">
        <v>167</v>
      </c>
      <c r="C23" s="22">
        <v>0.18</v>
      </c>
      <c r="D23" s="22">
        <v>0.23</v>
      </c>
      <c r="E23" s="22">
        <v>0.3</v>
      </c>
      <c r="F23" s="12" t="s">
        <v>174</v>
      </c>
      <c r="G23" s="13" t="s">
        <v>181</v>
      </c>
      <c r="H23" s="23" t="s">
        <v>182</v>
      </c>
    </row>
    <row r="24" spans="1:8" ht="15" customHeight="1" x14ac:dyDescent="0.3">
      <c r="A24" s="15" t="str">
        <f>"   "&amp;TRIM($A$16)</f>
        <v xml:space="preserve">   Other (account, KYC / onboarding, fees)</v>
      </c>
      <c r="B24" s="10" t="s">
        <v>167</v>
      </c>
      <c r="C24" s="22">
        <v>0.12</v>
      </c>
      <c r="D24" s="22">
        <v>0.17</v>
      </c>
      <c r="E24" s="22">
        <v>0.25</v>
      </c>
      <c r="F24" s="12" t="s">
        <v>174</v>
      </c>
      <c r="G24" s="13" t="s">
        <v>183</v>
      </c>
      <c r="H24" s="23" t="s">
        <v>184</v>
      </c>
    </row>
    <row r="25" spans="1:8" ht="15" customHeight="1" x14ac:dyDescent="0.3">
      <c r="A25" s="15" t="s">
        <v>185</v>
      </c>
    </row>
    <row r="26" spans="1:8" ht="52.05" customHeight="1" x14ac:dyDescent="0.3">
      <c r="A26" s="10" t="str">
        <f>"   "&amp;TRIM($A$14)</f>
        <v xml:space="preserve">   Where is my money (payout, payment status)</v>
      </c>
      <c r="B26" s="10" t="s">
        <v>167</v>
      </c>
      <c r="C26" s="22">
        <v>0.01</v>
      </c>
      <c r="D26" s="22">
        <v>5.0000000000000001E-3</v>
      </c>
      <c r="E26" s="22">
        <v>2.5000000000000001E-3</v>
      </c>
      <c r="F26" s="12" t="s">
        <v>174</v>
      </c>
      <c r="G26" s="13" t="s">
        <v>186</v>
      </c>
      <c r="H26" s="23">
        <v>0.04</v>
      </c>
    </row>
    <row r="27" spans="1:8" ht="27" customHeight="1" x14ac:dyDescent="0.3">
      <c r="A27" s="10" t="str">
        <f>"   "&amp;TRIM($A$15)</f>
        <v xml:space="preserve">   Disputes &amp; chargebacks</v>
      </c>
      <c r="B27" s="10" t="s">
        <v>167</v>
      </c>
      <c r="C27" s="22">
        <v>1.4E-2</v>
      </c>
      <c r="D27" s="22">
        <v>7.0000000000000001E-3</v>
      </c>
      <c r="E27" s="22">
        <v>3.5000000000000001E-3</v>
      </c>
      <c r="F27" s="12" t="s">
        <v>174</v>
      </c>
      <c r="G27" s="13" t="s">
        <v>187</v>
      </c>
      <c r="H27" s="23">
        <v>0.06</v>
      </c>
    </row>
    <row r="28" spans="1:8" ht="15" customHeight="1" x14ac:dyDescent="0.3">
      <c r="A28" s="10" t="str">
        <f>"   "&amp;TRIM($A$16)</f>
        <v xml:space="preserve">   Other (account, KYC / onboarding, fees)</v>
      </c>
      <c r="B28" s="10" t="s">
        <v>167</v>
      </c>
      <c r="C28" s="22">
        <v>1.2E-2</v>
      </c>
      <c r="D28" s="22">
        <v>6.0000000000000001E-3</v>
      </c>
      <c r="E28" s="22">
        <v>3.0000000000000001E-3</v>
      </c>
      <c r="F28" s="12" t="s">
        <v>174</v>
      </c>
      <c r="G28" s="13" t="s">
        <v>188</v>
      </c>
      <c r="H28" s="23">
        <v>0.05</v>
      </c>
    </row>
    <row r="29" spans="1:8" ht="15" customHeight="1" x14ac:dyDescent="0.3">
      <c r="A29" s="15" t="s">
        <v>189</v>
      </c>
    </row>
    <row r="30" spans="1:8" ht="52.05" customHeight="1" x14ac:dyDescent="0.3">
      <c r="A30" s="15" t="str">
        <f>"   "&amp;TRIM($A$14)</f>
        <v xml:space="preserve">   Where is my money (payout, payment status)</v>
      </c>
      <c r="B30" s="10" t="s">
        <v>190</v>
      </c>
      <c r="C30" s="24">
        <v>200</v>
      </c>
      <c r="D30" s="24">
        <v>120</v>
      </c>
      <c r="E30" s="24">
        <v>60</v>
      </c>
      <c r="F30" s="12" t="s">
        <v>148</v>
      </c>
      <c r="G30" s="13" t="s">
        <v>191</v>
      </c>
      <c r="H30" s="25" t="s">
        <v>192</v>
      </c>
    </row>
    <row r="31" spans="1:8" ht="76.95" customHeight="1" x14ac:dyDescent="0.3">
      <c r="A31" s="15" t="str">
        <f>"   "&amp;TRIM($A$15)</f>
        <v xml:space="preserve">   Disputes &amp; chargebacks</v>
      </c>
      <c r="B31" s="10" t="s">
        <v>190</v>
      </c>
      <c r="C31" s="24">
        <v>400</v>
      </c>
      <c r="D31" s="24">
        <v>250</v>
      </c>
      <c r="E31" s="24">
        <v>150</v>
      </c>
      <c r="F31" s="12" t="s">
        <v>152</v>
      </c>
      <c r="G31" s="13" t="s">
        <v>193</v>
      </c>
      <c r="H31" s="25" t="s">
        <v>194</v>
      </c>
    </row>
    <row r="32" spans="1:8" ht="27" customHeight="1" x14ac:dyDescent="0.3">
      <c r="A32" s="15" t="str">
        <f>"   "&amp;TRIM($A$16)</f>
        <v xml:space="preserve">   Other (account, KYC / onboarding, fees)</v>
      </c>
      <c r="B32" s="10" t="s">
        <v>190</v>
      </c>
      <c r="C32" s="24">
        <v>80</v>
      </c>
      <c r="D32" s="24">
        <v>40</v>
      </c>
      <c r="E32" s="24">
        <v>20</v>
      </c>
      <c r="F32" s="12" t="s">
        <v>148</v>
      </c>
      <c r="G32" s="13" t="s">
        <v>195</v>
      </c>
      <c r="H32" s="25" t="s">
        <v>196</v>
      </c>
    </row>
    <row r="33" spans="1:8" ht="15" customHeight="1" x14ac:dyDescent="0.3">
      <c r="A33" s="15" t="s">
        <v>197</v>
      </c>
    </row>
    <row r="34" spans="1:8" ht="27" customHeight="1" x14ac:dyDescent="0.3">
      <c r="A34" s="10" t="str">
        <f>"   "&amp;TRIM($A$14)</f>
        <v xml:space="preserve">   Where is my money (payout, payment status)</v>
      </c>
      <c r="B34" s="10" t="s">
        <v>198</v>
      </c>
      <c r="C34" s="11">
        <v>1</v>
      </c>
      <c r="D34" s="11">
        <v>1</v>
      </c>
      <c r="E34" s="11">
        <v>1</v>
      </c>
      <c r="F34" s="12" t="s">
        <v>199</v>
      </c>
      <c r="G34" s="13" t="s">
        <v>200</v>
      </c>
      <c r="H34" s="14">
        <v>1</v>
      </c>
    </row>
    <row r="35" spans="1:8" ht="64.5" customHeight="1" x14ac:dyDescent="0.3">
      <c r="A35" s="10" t="str">
        <f>"   "&amp;TRIM($A$15)</f>
        <v xml:space="preserve">   Disputes &amp; chargebacks</v>
      </c>
      <c r="B35" s="10" t="s">
        <v>198</v>
      </c>
      <c r="C35" s="11">
        <v>0</v>
      </c>
      <c r="D35" s="11">
        <v>0</v>
      </c>
      <c r="E35" s="11">
        <v>0</v>
      </c>
      <c r="F35" s="12" t="s">
        <v>199</v>
      </c>
      <c r="G35" s="13" t="s">
        <v>201</v>
      </c>
      <c r="H35" s="14">
        <v>1</v>
      </c>
    </row>
    <row r="36" spans="1:8" ht="15" customHeight="1" x14ac:dyDescent="0.3">
      <c r="A36" s="10" t="str">
        <f>"   "&amp;TRIM($A$16)</f>
        <v xml:space="preserve">   Other (account, KYC / onboarding, fees)</v>
      </c>
      <c r="B36" s="10" t="s">
        <v>198</v>
      </c>
      <c r="C36" s="11">
        <v>1</v>
      </c>
      <c r="D36" s="11">
        <v>1</v>
      </c>
      <c r="E36" s="11">
        <v>1</v>
      </c>
      <c r="F36" s="12" t="s">
        <v>199</v>
      </c>
      <c r="G36" s="13" t="s">
        <v>202</v>
      </c>
      <c r="H36" s="14">
        <v>1</v>
      </c>
    </row>
    <row r="38" spans="1:8" ht="15" customHeight="1" x14ac:dyDescent="0.3">
      <c r="A38" s="9" t="s">
        <v>203</v>
      </c>
    </row>
    <row r="39" spans="1:8" ht="52.05" customHeight="1" x14ac:dyDescent="0.3">
      <c r="A39" s="10" t="s">
        <v>204</v>
      </c>
      <c r="B39" s="10" t="s">
        <v>167</v>
      </c>
      <c r="C39" s="22">
        <v>0.1</v>
      </c>
      <c r="D39" s="22">
        <v>0.2</v>
      </c>
      <c r="E39" s="22">
        <v>0.3</v>
      </c>
      <c r="F39" s="12" t="s">
        <v>199</v>
      </c>
      <c r="G39" s="13" t="s">
        <v>205</v>
      </c>
      <c r="H39" s="23">
        <v>0.2</v>
      </c>
    </row>
    <row r="40" spans="1:8" ht="15" customHeight="1" x14ac:dyDescent="0.3">
      <c r="A40" s="10" t="s">
        <v>206</v>
      </c>
      <c r="B40" s="10" t="s">
        <v>167</v>
      </c>
      <c r="C40" s="22">
        <v>0.25</v>
      </c>
      <c r="D40" s="22">
        <v>0.4</v>
      </c>
      <c r="E40" s="22">
        <v>0.5</v>
      </c>
      <c r="F40" s="12" t="s">
        <v>199</v>
      </c>
      <c r="G40" s="13" t="s">
        <v>207</v>
      </c>
      <c r="H40" s="23">
        <v>0.4</v>
      </c>
    </row>
    <row r="41" spans="1:8" ht="27" customHeight="1" x14ac:dyDescent="0.3">
      <c r="A41" s="10" t="s">
        <v>208</v>
      </c>
      <c r="B41" s="10" t="s">
        <v>167</v>
      </c>
      <c r="C41" s="22">
        <v>0.4</v>
      </c>
      <c r="D41" s="22">
        <v>0.6</v>
      </c>
      <c r="E41" s="22">
        <v>0.7</v>
      </c>
      <c r="F41" s="12" t="s">
        <v>199</v>
      </c>
      <c r="G41" s="13" t="s">
        <v>209</v>
      </c>
      <c r="H41" s="23">
        <v>0.6</v>
      </c>
    </row>
    <row r="42" spans="1:8" ht="15" customHeight="1" x14ac:dyDescent="0.3">
      <c r="A42" s="10" t="s">
        <v>210</v>
      </c>
      <c r="B42" s="10" t="s">
        <v>167</v>
      </c>
      <c r="C42" s="22">
        <v>0.55000000000000004</v>
      </c>
      <c r="D42" s="22">
        <v>0.7</v>
      </c>
      <c r="E42" s="22">
        <v>0.8</v>
      </c>
      <c r="F42" s="12" t="s">
        <v>199</v>
      </c>
      <c r="G42" s="13" t="s">
        <v>211</v>
      </c>
      <c r="H42" s="23">
        <v>0.7</v>
      </c>
    </row>
    <row r="44" spans="1:8" ht="15" customHeight="1" x14ac:dyDescent="0.3">
      <c r="A44" s="9" t="s">
        <v>212</v>
      </c>
    </row>
    <row r="45" spans="1:8" ht="102" customHeight="1" x14ac:dyDescent="0.3">
      <c r="A45" s="10" t="s">
        <v>213</v>
      </c>
      <c r="B45" s="10" t="s">
        <v>214</v>
      </c>
      <c r="C45" s="16">
        <v>0.15</v>
      </c>
      <c r="D45" s="16">
        <v>0.06</v>
      </c>
      <c r="E45" s="16">
        <v>0.03</v>
      </c>
      <c r="F45" s="12" t="s">
        <v>152</v>
      </c>
      <c r="G45" s="13" t="s">
        <v>215</v>
      </c>
      <c r="H45" s="17">
        <v>0.08</v>
      </c>
    </row>
    <row r="46" spans="1:8" ht="15" customHeight="1" x14ac:dyDescent="0.3">
      <c r="A46" s="10" t="s">
        <v>216</v>
      </c>
      <c r="B46" s="10" t="s">
        <v>217</v>
      </c>
      <c r="C46" s="26">
        <v>1.3</v>
      </c>
      <c r="D46" s="26">
        <v>1.2</v>
      </c>
      <c r="E46" s="26">
        <v>1.1000000000000001</v>
      </c>
      <c r="F46" s="12" t="s">
        <v>152</v>
      </c>
      <c r="G46" s="13" t="s">
        <v>218</v>
      </c>
      <c r="H46" s="27">
        <v>1.2</v>
      </c>
    </row>
    <row r="48" spans="1:8" ht="15" customHeight="1" x14ac:dyDescent="0.3">
      <c r="A48" s="9" t="s">
        <v>219</v>
      </c>
    </row>
    <row r="49" spans="1:8" ht="76.95" customHeight="1" x14ac:dyDescent="0.3">
      <c r="A49" s="10" t="s">
        <v>220</v>
      </c>
      <c r="B49" s="10" t="s">
        <v>221</v>
      </c>
      <c r="C49" s="24">
        <v>100000</v>
      </c>
      <c r="D49" s="24">
        <v>60000</v>
      </c>
      <c r="E49" s="24">
        <v>40000</v>
      </c>
      <c r="F49" s="12" t="s">
        <v>174</v>
      </c>
      <c r="G49" s="13" t="s">
        <v>222</v>
      </c>
      <c r="H49" s="25">
        <v>90000</v>
      </c>
    </row>
    <row r="50" spans="1:8" ht="15" customHeight="1" x14ac:dyDescent="0.3">
      <c r="A50" s="10" t="s">
        <v>223</v>
      </c>
      <c r="B50" s="10" t="s">
        <v>224</v>
      </c>
      <c r="C50" s="11">
        <v>3</v>
      </c>
      <c r="D50" s="11">
        <v>3</v>
      </c>
      <c r="E50" s="11">
        <v>3</v>
      </c>
      <c r="F50" s="12" t="s">
        <v>199</v>
      </c>
      <c r="G50" s="13" t="s">
        <v>225</v>
      </c>
      <c r="H50" s="14">
        <v>3</v>
      </c>
    </row>
    <row r="51" spans="1:8" ht="39.450000000000003" customHeight="1" x14ac:dyDescent="0.3">
      <c r="A51" s="10" t="s">
        <v>226</v>
      </c>
      <c r="B51" s="10" t="s">
        <v>155</v>
      </c>
      <c r="C51" s="24">
        <v>30000</v>
      </c>
      <c r="D51" s="24">
        <v>20000</v>
      </c>
      <c r="E51" s="24">
        <v>12000</v>
      </c>
      <c r="F51" s="12" t="s">
        <v>148</v>
      </c>
      <c r="G51" s="13" t="s">
        <v>227</v>
      </c>
      <c r="H51" s="25">
        <v>40000</v>
      </c>
    </row>
    <row r="52" spans="1:8" ht="52.05" customHeight="1" x14ac:dyDescent="0.3">
      <c r="A52" s="10" t="s">
        <v>228</v>
      </c>
      <c r="B52" s="10" t="s">
        <v>229</v>
      </c>
      <c r="C52" s="11">
        <v>0.5</v>
      </c>
      <c r="D52" s="11">
        <v>0.25</v>
      </c>
      <c r="E52" s="11">
        <v>0.15</v>
      </c>
      <c r="F52" s="12" t="s">
        <v>230</v>
      </c>
      <c r="G52" s="13" t="s">
        <v>231</v>
      </c>
      <c r="H52" s="14">
        <v>2</v>
      </c>
    </row>
    <row r="53" spans="1:8" ht="15" customHeight="1" x14ac:dyDescent="0.3">
      <c r="A53" s="10" t="s">
        <v>232</v>
      </c>
      <c r="B53" s="10" t="s">
        <v>155</v>
      </c>
      <c r="C53" s="24">
        <v>55000</v>
      </c>
      <c r="D53" s="24">
        <v>55000</v>
      </c>
      <c r="E53" s="24">
        <v>55000</v>
      </c>
      <c r="F53" s="12" t="s">
        <v>152</v>
      </c>
      <c r="G53" s="13" t="s">
        <v>233</v>
      </c>
      <c r="H53" s="25">
        <v>55000</v>
      </c>
    </row>
    <row r="54" spans="1:8" ht="27" customHeight="1" x14ac:dyDescent="0.3">
      <c r="A54" s="10" t="s">
        <v>234</v>
      </c>
      <c r="B54" s="10" t="s">
        <v>155</v>
      </c>
      <c r="C54" s="24">
        <v>20000</v>
      </c>
      <c r="D54" s="24">
        <v>10000</v>
      </c>
      <c r="E54" s="24">
        <v>6000</v>
      </c>
      <c r="F54" s="12" t="s">
        <v>148</v>
      </c>
      <c r="G54" s="13" t="s">
        <v>235</v>
      </c>
      <c r="H54" s="25">
        <v>25000</v>
      </c>
    </row>
    <row r="55" spans="1:8" ht="15" customHeight="1" x14ac:dyDescent="0.3">
      <c r="A55" s="10" t="s">
        <v>236</v>
      </c>
      <c r="B55" s="10" t="s">
        <v>237</v>
      </c>
      <c r="C55" s="11">
        <v>4</v>
      </c>
      <c r="D55" s="11">
        <v>3</v>
      </c>
      <c r="E55" s="11">
        <v>2</v>
      </c>
      <c r="F55" s="12" t="s">
        <v>148</v>
      </c>
      <c r="G55" s="13" t="s">
        <v>238</v>
      </c>
      <c r="H55" s="14">
        <v>4</v>
      </c>
    </row>
    <row r="56" spans="1:8" ht="15" customHeight="1" x14ac:dyDescent="0.3">
      <c r="A56" s="10" t="s">
        <v>239</v>
      </c>
      <c r="B56" s="10" t="s">
        <v>240</v>
      </c>
      <c r="C56" s="24">
        <v>4000</v>
      </c>
      <c r="D56" s="24">
        <v>2500</v>
      </c>
      <c r="E56" s="24">
        <v>1500</v>
      </c>
      <c r="F56" s="12" t="s">
        <v>148</v>
      </c>
      <c r="G56" s="13" t="s">
        <v>241</v>
      </c>
      <c r="H56" s="25">
        <v>5000</v>
      </c>
    </row>
    <row r="58" spans="1:8" ht="15" customHeight="1" x14ac:dyDescent="0.3">
      <c r="A58" s="9" t="s">
        <v>242</v>
      </c>
    </row>
    <row r="59" spans="1:8" ht="39.450000000000003" customHeight="1" x14ac:dyDescent="0.3">
      <c r="A59" s="15" t="s">
        <v>243</v>
      </c>
      <c r="B59" s="10" t="s">
        <v>167</v>
      </c>
      <c r="C59" s="22">
        <v>0.05</v>
      </c>
      <c r="D59" s="22">
        <v>0.05</v>
      </c>
      <c r="E59" s="22">
        <v>0.05</v>
      </c>
      <c r="F59" s="12" t="s">
        <v>152</v>
      </c>
      <c r="G59" s="13" t="s">
        <v>244</v>
      </c>
      <c r="H59" s="23">
        <v>0.05</v>
      </c>
    </row>
    <row r="60" spans="1:8" ht="89.55" customHeight="1" x14ac:dyDescent="0.3">
      <c r="A60" s="15" t="s">
        <v>245</v>
      </c>
      <c r="B60" s="10" t="s">
        <v>155</v>
      </c>
      <c r="C60" s="24">
        <v>70000</v>
      </c>
      <c r="D60" s="24">
        <v>70000</v>
      </c>
      <c r="E60" s="24">
        <v>70000</v>
      </c>
      <c r="F60" s="12" t="s">
        <v>148</v>
      </c>
      <c r="G60" s="13" t="s">
        <v>246</v>
      </c>
      <c r="H60" s="25">
        <v>300000</v>
      </c>
    </row>
    <row r="62" spans="1:8" ht="15" customHeight="1" x14ac:dyDescent="0.3">
      <c r="A62" s="9" t="s">
        <v>247</v>
      </c>
    </row>
    <row r="63" spans="1:8" ht="39.450000000000003" customHeight="1" x14ac:dyDescent="0.3">
      <c r="A63" s="15" t="s">
        <v>248</v>
      </c>
      <c r="B63" s="10" t="s">
        <v>249</v>
      </c>
      <c r="C63" s="26">
        <v>0.3</v>
      </c>
      <c r="D63" s="26">
        <v>0.5</v>
      </c>
      <c r="E63" s="26">
        <v>0.2</v>
      </c>
      <c r="F63" s="12" t="s">
        <v>230</v>
      </c>
      <c r="G63" s="13" t="s">
        <v>250</v>
      </c>
      <c r="H63" s="27">
        <v>0.5</v>
      </c>
    </row>
    <row r="64" spans="1:8" ht="15" customHeight="1" x14ac:dyDescent="0.3">
      <c r="A64" s="10" t="s">
        <v>251</v>
      </c>
      <c r="D64" s="28">
        <f>SUM(C63:E63)</f>
        <v>1</v>
      </c>
      <c r="G64" s="19" t="s">
        <v>252</v>
      </c>
    </row>
    <row r="66" spans="1:7" ht="15" customHeight="1" x14ac:dyDescent="0.3">
      <c r="A66" s="9" t="s">
        <v>253</v>
      </c>
    </row>
    <row r="67" spans="1:7" ht="52.05" customHeight="1" x14ac:dyDescent="0.3">
      <c r="A67" s="21" t="s">
        <v>254</v>
      </c>
      <c r="B67" s="29" t="s">
        <v>255</v>
      </c>
      <c r="C67" s="30"/>
      <c r="D67" s="30"/>
      <c r="E67" s="30"/>
      <c r="F67" s="21" t="s">
        <v>230</v>
      </c>
      <c r="G67" s="31" t="s">
        <v>256</v>
      </c>
    </row>
    <row r="68" spans="1:7" ht="15" customHeight="1" x14ac:dyDescent="0.3">
      <c r="A68" s="21" t="s">
        <v>257</v>
      </c>
      <c r="B68" s="29" t="s">
        <v>255</v>
      </c>
      <c r="C68" s="30"/>
      <c r="D68" s="30"/>
      <c r="E68" s="30"/>
      <c r="F68" s="21"/>
      <c r="G68" s="31" t="s">
        <v>258</v>
      </c>
    </row>
    <row r="70" spans="1:7" ht="15" customHeight="1" x14ac:dyDescent="0.3">
      <c r="A70" s="9" t="s">
        <v>259</v>
      </c>
    </row>
    <row r="71" spans="1:7" x14ac:dyDescent="0.3">
      <c r="A71" s="59" t="s">
        <v>260</v>
      </c>
    </row>
    <row r="72" spans="1:7" x14ac:dyDescent="0.3">
      <c r="A72" s="59" t="s">
        <v>261</v>
      </c>
    </row>
    <row r="73" spans="1:7" x14ac:dyDescent="0.3">
      <c r="A73" s="59" t="s">
        <v>262</v>
      </c>
    </row>
    <row r="74" spans="1:7" x14ac:dyDescent="0.3">
      <c r="A74" s="59" t="s">
        <v>263</v>
      </c>
    </row>
    <row r="75" spans="1:7" x14ac:dyDescent="0.3">
      <c r="A75" s="59" t="s">
        <v>264</v>
      </c>
    </row>
    <row r="76" spans="1:7" x14ac:dyDescent="0.3">
      <c r="A76" s="59" t="s">
        <v>265</v>
      </c>
    </row>
    <row r="77" spans="1:7" x14ac:dyDescent="0.3">
      <c r="A77" s="59" t="s">
        <v>266</v>
      </c>
    </row>
    <row r="78" spans="1:7" x14ac:dyDescent="0.3">
      <c r="A78" s="59" t="s">
        <v>267</v>
      </c>
    </row>
  </sheetData>
  <mergeCells count="2">
    <mergeCell ref="A3:G3"/>
    <mergeCell ref="A2:G2"/>
  </mergeCells>
  <dataValidations count="1">
    <dataValidation type="list" allowBlank="1" sqref="F6:F9 F14:F16 F18:F20 F22:F24 F26:F28 F30:F32 F34:F36 F39:F42 F45:F46 F49:F56 F59:F60 F63 F67:F68" xr:uid="{00000000-0002-0000-0100-000000000000}">
      <formula1>"measured,analogy,guess,guess → S4 test,decision,judgement"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zoomScaleNormal="100" workbookViewId="0">
      <pane ySplit="4" topLeftCell="A31" activePane="bottomLeft" state="frozen"/>
      <selection pane="bottomLeft"/>
    </sheetView>
  </sheetViews>
  <sheetFormatPr baseColWidth="10" defaultColWidth="8.6640625" defaultRowHeight="14.4" x14ac:dyDescent="0.3"/>
  <cols>
    <col min="1" max="1" width="52" customWidth="1"/>
    <col min="2" max="2" width="12" customWidth="1"/>
    <col min="3" max="5" width="15" customWidth="1"/>
    <col min="6" max="6" width="60" customWidth="1"/>
  </cols>
  <sheetData>
    <row r="1" spans="1:6" ht="17.25" customHeight="1" x14ac:dyDescent="0.3">
      <c r="A1" s="6" t="s">
        <v>268</v>
      </c>
    </row>
    <row r="2" spans="1:6" ht="15" customHeight="1" x14ac:dyDescent="0.3">
      <c r="A2" s="32" t="s">
        <v>269</v>
      </c>
    </row>
    <row r="4" spans="1:6" ht="27.75" customHeight="1" x14ac:dyDescent="0.3">
      <c r="A4" s="7" t="s">
        <v>270</v>
      </c>
      <c r="B4" s="7" t="s">
        <v>138</v>
      </c>
      <c r="C4" s="7" t="s">
        <v>271</v>
      </c>
      <c r="D4" s="7" t="s">
        <v>140</v>
      </c>
      <c r="E4" s="7" t="s">
        <v>272</v>
      </c>
      <c r="F4" s="7" t="s">
        <v>273</v>
      </c>
    </row>
    <row r="5" spans="1:6" ht="15" customHeight="1" x14ac:dyDescent="0.3">
      <c r="A5" s="15" t="s">
        <v>274</v>
      </c>
      <c r="C5" s="33">
        <f>IFERROR(AVERAGE(Inputs!C39:C42),0)</f>
        <v>0.32500000000000001</v>
      </c>
      <c r="D5" s="33">
        <f>IFERROR(AVERAGE(Inputs!D39:D42),0)</f>
        <v>0.47500000000000003</v>
      </c>
      <c r="E5" s="33">
        <f>IFERROR(AVERAGE(Inputs!E39:E42),0)</f>
        <v>0.57499999999999996</v>
      </c>
      <c r="F5" s="19" t="s">
        <v>275</v>
      </c>
    </row>
    <row r="7" spans="1:6" ht="15" customHeight="1" x14ac:dyDescent="0.3">
      <c r="A7" s="9" t="str">
        <f>UPPER(TRIM(Inputs!A14))</f>
        <v>WHERE IS MY MONEY (PAYOUT, PAYMENT STATUS)</v>
      </c>
    </row>
    <row r="8" spans="1:6" ht="15" customHeight="1" x14ac:dyDescent="0.3">
      <c r="A8" s="10" t="s">
        <v>276</v>
      </c>
      <c r="B8" s="10" t="s">
        <v>147</v>
      </c>
      <c r="C8" s="34">
        <f>Inputs!C$6*Inputs!C14</f>
        <v>4860</v>
      </c>
      <c r="D8" s="34">
        <f>Inputs!D$6*Inputs!D14</f>
        <v>5400</v>
      </c>
      <c r="E8" s="34">
        <f>Inputs!E$6*Inputs!E14</f>
        <v>6210</v>
      </c>
      <c r="F8" s="13" t="s">
        <v>277</v>
      </c>
    </row>
    <row r="9" spans="1:6" ht="15" customHeight="1" x14ac:dyDescent="0.3">
      <c r="A9" s="10" t="s">
        <v>278</v>
      </c>
      <c r="B9" s="10" t="s">
        <v>147</v>
      </c>
      <c r="C9" s="35">
        <f>C8*Inputs!C18</f>
        <v>2673</v>
      </c>
      <c r="D9" s="35">
        <f>D8*Inputs!D18</f>
        <v>3779.9999999999995</v>
      </c>
      <c r="E9" s="35">
        <f>E8*Inputs!E18</f>
        <v>4968</v>
      </c>
      <c r="F9" s="13" t="s">
        <v>279</v>
      </c>
    </row>
    <row r="10" spans="1:6" ht="15" customHeight="1" x14ac:dyDescent="0.3">
      <c r="A10" s="10" t="s">
        <v>280</v>
      </c>
      <c r="B10" s="10" t="s">
        <v>147</v>
      </c>
      <c r="C10" s="35">
        <f>C9*Inputs!C22*Inputs!C34</f>
        <v>588.06000000000006</v>
      </c>
      <c r="D10" s="35">
        <f>D9*Inputs!D22*Inputs!D34</f>
        <v>1020.5999999999999</v>
      </c>
      <c r="E10" s="35">
        <f>E9*Inputs!E22*Inputs!E34</f>
        <v>1738.8</v>
      </c>
      <c r="F10" s="13" t="s">
        <v>281</v>
      </c>
    </row>
    <row r="11" spans="1:6" ht="15" customHeight="1" x14ac:dyDescent="0.3">
      <c r="A11" s="10" t="s">
        <v>282</v>
      </c>
      <c r="B11" s="10" t="s">
        <v>283</v>
      </c>
      <c r="C11" s="35">
        <f>C10*12*C$5</f>
        <v>2293.4340000000007</v>
      </c>
      <c r="D11" s="35">
        <f>D10*12*D$5</f>
        <v>5817.42</v>
      </c>
      <c r="E11" s="35">
        <f>E10*12*E$5</f>
        <v>11997.719999999998</v>
      </c>
      <c r="F11" s="13" t="s">
        <v>284</v>
      </c>
    </row>
    <row r="12" spans="1:6" ht="15" customHeight="1" x14ac:dyDescent="0.3">
      <c r="A12" s="10" t="s">
        <v>285</v>
      </c>
      <c r="B12" s="10" t="s">
        <v>255</v>
      </c>
      <c r="C12" s="36">
        <f>C11*Inputs!C$9</f>
        <v>8944.3926000000029</v>
      </c>
      <c r="D12" s="36">
        <f>D11*Inputs!D$9</f>
        <v>27341.874</v>
      </c>
      <c r="E12" s="36">
        <f>E11*Inputs!E$9</f>
        <v>65987.459999999992</v>
      </c>
      <c r="F12" s="13" t="s">
        <v>286</v>
      </c>
    </row>
    <row r="13" spans="1:6" ht="15" customHeight="1" x14ac:dyDescent="0.3">
      <c r="A13" s="10" t="s">
        <v>287</v>
      </c>
      <c r="B13" s="10" t="s">
        <v>255</v>
      </c>
      <c r="C13" s="36">
        <f>C9*12*C$5*Inputs!C34*Inputs!C26*Inputs!C30</f>
        <v>20849.400000000001</v>
      </c>
      <c r="D13" s="36">
        <f>D9*12*D$5*Inputs!D34*Inputs!D26*Inputs!D30</f>
        <v>12927.599999999999</v>
      </c>
      <c r="E13" s="36">
        <f>E9*12*E$5*Inputs!E34*Inputs!E26*Inputs!E30</f>
        <v>5141.8799999999992</v>
      </c>
      <c r="F13" s="13" t="s">
        <v>288</v>
      </c>
    </row>
    <row r="14" spans="1:6" ht="15" customHeight="1" x14ac:dyDescent="0.3">
      <c r="A14" s="10" t="s">
        <v>289</v>
      </c>
      <c r="B14" s="10" t="s">
        <v>255</v>
      </c>
      <c r="C14" s="36">
        <f>C9*12*C$5*Inputs!C34*Inputs!C$45*Inputs!C$46</f>
        <v>2032.8165000000004</v>
      </c>
      <c r="D14" s="36">
        <f>D9*12*D$5*Inputs!D34*Inputs!D$45*Inputs!D$46</f>
        <v>1551.3119999999997</v>
      </c>
      <c r="E14" s="36">
        <f>E9*12*E$5*Inputs!E34*Inputs!E$45*Inputs!E$46</f>
        <v>1131.2136</v>
      </c>
      <c r="F14" s="13" t="s">
        <v>290</v>
      </c>
    </row>
    <row r="15" spans="1:6" ht="15" customHeight="1" x14ac:dyDescent="0.3">
      <c r="A15" s="15" t="s">
        <v>291</v>
      </c>
      <c r="B15" s="10" t="s">
        <v>255</v>
      </c>
      <c r="C15" s="37">
        <f>C12-C13-C14</f>
        <v>-13937.823899999999</v>
      </c>
      <c r="D15" s="37">
        <f>D12-D13-D14</f>
        <v>12862.962000000001</v>
      </c>
      <c r="E15" s="37">
        <f>E12-E13-E14</f>
        <v>59714.366399999992</v>
      </c>
      <c r="F15" s="13" t="s">
        <v>292</v>
      </c>
    </row>
    <row r="17" spans="1:6" ht="15" customHeight="1" x14ac:dyDescent="0.3">
      <c r="A17" s="9" t="str">
        <f>UPPER(TRIM(Inputs!A15))</f>
        <v>DISPUTES &amp; CHARGEBACKS</v>
      </c>
    </row>
    <row r="18" spans="1:6" ht="15" customHeight="1" x14ac:dyDescent="0.3">
      <c r="A18" s="10" t="s">
        <v>276</v>
      </c>
      <c r="B18" s="10" t="s">
        <v>147</v>
      </c>
      <c r="C18" s="34">
        <f>Inputs!C$6*Inputs!C15</f>
        <v>2700</v>
      </c>
      <c r="D18" s="34">
        <f>Inputs!D$6*Inputs!D15</f>
        <v>3000</v>
      </c>
      <c r="E18" s="34">
        <f>Inputs!E$6*Inputs!E15</f>
        <v>3450</v>
      </c>
      <c r="F18" s="13" t="s">
        <v>277</v>
      </c>
    </row>
    <row r="19" spans="1:6" ht="15" customHeight="1" x14ac:dyDescent="0.3">
      <c r="A19" s="10" t="s">
        <v>278</v>
      </c>
      <c r="B19" s="10" t="s">
        <v>147</v>
      </c>
      <c r="C19" s="35">
        <f>C18*Inputs!C19</f>
        <v>1080</v>
      </c>
      <c r="D19" s="35">
        <f>D18*Inputs!D19</f>
        <v>1650.0000000000002</v>
      </c>
      <c r="E19" s="35">
        <f>E18*Inputs!E19</f>
        <v>2242.5</v>
      </c>
      <c r="F19" s="13" t="s">
        <v>279</v>
      </c>
    </row>
    <row r="20" spans="1:6" ht="15" customHeight="1" x14ac:dyDescent="0.3">
      <c r="A20" s="10" t="s">
        <v>280</v>
      </c>
      <c r="B20" s="10" t="s">
        <v>147</v>
      </c>
      <c r="C20" s="35">
        <f>C19*Inputs!C23*Inputs!C35</f>
        <v>0</v>
      </c>
      <c r="D20" s="35">
        <f>D19*Inputs!D23*Inputs!D35</f>
        <v>0</v>
      </c>
      <c r="E20" s="35">
        <f>E19*Inputs!E23*Inputs!E35</f>
        <v>0</v>
      </c>
      <c r="F20" s="13" t="s">
        <v>281</v>
      </c>
    </row>
    <row r="21" spans="1:6" ht="15" customHeight="1" x14ac:dyDescent="0.3">
      <c r="A21" s="10" t="s">
        <v>282</v>
      </c>
      <c r="B21" s="10" t="s">
        <v>283</v>
      </c>
      <c r="C21" s="35">
        <f>C20*12*C$5</f>
        <v>0</v>
      </c>
      <c r="D21" s="35">
        <f>D20*12*D$5</f>
        <v>0</v>
      </c>
      <c r="E21" s="35">
        <f>E20*12*E$5</f>
        <v>0</v>
      </c>
      <c r="F21" s="13" t="s">
        <v>284</v>
      </c>
    </row>
    <row r="22" spans="1:6" ht="15" customHeight="1" x14ac:dyDescent="0.3">
      <c r="A22" s="10" t="s">
        <v>285</v>
      </c>
      <c r="B22" s="10" t="s">
        <v>255</v>
      </c>
      <c r="C22" s="36">
        <f>C21*Inputs!C$9</f>
        <v>0</v>
      </c>
      <c r="D22" s="36">
        <f>D21*Inputs!D$9</f>
        <v>0</v>
      </c>
      <c r="E22" s="36">
        <f>E21*Inputs!E$9</f>
        <v>0</v>
      </c>
      <c r="F22" s="13" t="s">
        <v>286</v>
      </c>
    </row>
    <row r="23" spans="1:6" ht="15" customHeight="1" x14ac:dyDescent="0.3">
      <c r="A23" s="10" t="s">
        <v>287</v>
      </c>
      <c r="B23" s="10" t="s">
        <v>255</v>
      </c>
      <c r="C23" s="36">
        <f>C19*12*C$5*Inputs!C35*Inputs!C27*Inputs!C31</f>
        <v>0</v>
      </c>
      <c r="D23" s="36">
        <f>D19*12*D$5*Inputs!D35*Inputs!D27*Inputs!D31</f>
        <v>0</v>
      </c>
      <c r="E23" s="36">
        <f>E19*12*E$5*Inputs!E35*Inputs!E27*Inputs!E31</f>
        <v>0</v>
      </c>
      <c r="F23" s="13" t="s">
        <v>288</v>
      </c>
    </row>
    <row r="24" spans="1:6" ht="15" customHeight="1" x14ac:dyDescent="0.3">
      <c r="A24" s="10" t="s">
        <v>289</v>
      </c>
      <c r="B24" s="10" t="s">
        <v>255</v>
      </c>
      <c r="C24" s="36">
        <f>C19*12*C$5*Inputs!C35*Inputs!C$45*Inputs!C$46</f>
        <v>0</v>
      </c>
      <c r="D24" s="36">
        <f>D19*12*D$5*Inputs!D35*Inputs!D$45*Inputs!D$46</f>
        <v>0</v>
      </c>
      <c r="E24" s="36">
        <f>E19*12*E$5*Inputs!E35*Inputs!E$45*Inputs!E$46</f>
        <v>0</v>
      </c>
      <c r="F24" s="13" t="s">
        <v>290</v>
      </c>
    </row>
    <row r="25" spans="1:6" ht="15" customHeight="1" x14ac:dyDescent="0.3">
      <c r="A25" s="15" t="s">
        <v>291</v>
      </c>
      <c r="B25" s="10" t="s">
        <v>255</v>
      </c>
      <c r="C25" s="37">
        <f>C22-C23-C24</f>
        <v>0</v>
      </c>
      <c r="D25" s="37">
        <f>D22-D23-D24</f>
        <v>0</v>
      </c>
      <c r="E25" s="37">
        <f>E22-E23-E24</f>
        <v>0</v>
      </c>
      <c r="F25" s="13" t="s">
        <v>292</v>
      </c>
    </row>
    <row r="27" spans="1:6" ht="15" customHeight="1" x14ac:dyDescent="0.3">
      <c r="A27" s="9" t="str">
        <f>UPPER(TRIM(Inputs!A16))</f>
        <v>OTHER (ACCOUNT, KYC / ONBOARDING, FEES)</v>
      </c>
    </row>
    <row r="28" spans="1:6" ht="15" customHeight="1" x14ac:dyDescent="0.3">
      <c r="A28" s="10" t="s">
        <v>276</v>
      </c>
      <c r="B28" s="10" t="s">
        <v>147</v>
      </c>
      <c r="C28" s="34">
        <f>Inputs!C$6*Inputs!C16</f>
        <v>3240</v>
      </c>
      <c r="D28" s="34">
        <f>Inputs!D$6*Inputs!D16</f>
        <v>3600</v>
      </c>
      <c r="E28" s="34">
        <f>Inputs!E$6*Inputs!E16</f>
        <v>4140</v>
      </c>
      <c r="F28" s="13" t="s">
        <v>277</v>
      </c>
    </row>
    <row r="29" spans="1:6" ht="15" customHeight="1" x14ac:dyDescent="0.3">
      <c r="A29" s="10" t="s">
        <v>278</v>
      </c>
      <c r="B29" s="10" t="s">
        <v>147</v>
      </c>
      <c r="C29" s="35">
        <f>C28*Inputs!C20</f>
        <v>648</v>
      </c>
      <c r="D29" s="35">
        <f>D28*Inputs!D20</f>
        <v>1080</v>
      </c>
      <c r="E29" s="35">
        <f>E28*Inputs!E20</f>
        <v>1656</v>
      </c>
      <c r="F29" s="13" t="s">
        <v>279</v>
      </c>
    </row>
    <row r="30" spans="1:6" ht="15" customHeight="1" x14ac:dyDescent="0.3">
      <c r="A30" s="10" t="s">
        <v>280</v>
      </c>
      <c r="B30" s="10" t="s">
        <v>147</v>
      </c>
      <c r="C30" s="35">
        <f>C29*Inputs!C24*Inputs!C36</f>
        <v>77.759999999999991</v>
      </c>
      <c r="D30" s="35">
        <f>D29*Inputs!D24*Inputs!D36</f>
        <v>183.60000000000002</v>
      </c>
      <c r="E30" s="35">
        <f>E29*Inputs!E24*Inputs!E36</f>
        <v>414</v>
      </c>
      <c r="F30" s="13" t="s">
        <v>281</v>
      </c>
    </row>
    <row r="31" spans="1:6" ht="15" customHeight="1" x14ac:dyDescent="0.3">
      <c r="A31" s="10" t="s">
        <v>282</v>
      </c>
      <c r="B31" s="10" t="s">
        <v>283</v>
      </c>
      <c r="C31" s="35">
        <f>C30*12*C$5</f>
        <v>303.26399999999995</v>
      </c>
      <c r="D31" s="35">
        <f>D30*12*D$5</f>
        <v>1046.5200000000002</v>
      </c>
      <c r="E31" s="35">
        <f>E30*12*E$5</f>
        <v>2856.6</v>
      </c>
      <c r="F31" s="13" t="s">
        <v>284</v>
      </c>
    </row>
    <row r="32" spans="1:6" ht="15" customHeight="1" x14ac:dyDescent="0.3">
      <c r="A32" s="10" t="s">
        <v>285</v>
      </c>
      <c r="B32" s="10" t="s">
        <v>255</v>
      </c>
      <c r="C32" s="36">
        <f>C31*Inputs!C$9</f>
        <v>1182.7295999999999</v>
      </c>
      <c r="D32" s="36">
        <f>D31*Inputs!D$9</f>
        <v>4918.6440000000011</v>
      </c>
      <c r="E32" s="36">
        <f>E31*Inputs!E$9</f>
        <v>15711.3</v>
      </c>
      <c r="F32" s="13" t="s">
        <v>286</v>
      </c>
    </row>
    <row r="33" spans="1:6" ht="15" customHeight="1" x14ac:dyDescent="0.3">
      <c r="A33" s="10" t="s">
        <v>287</v>
      </c>
      <c r="B33" s="10" t="s">
        <v>255</v>
      </c>
      <c r="C33" s="36">
        <f>C29*12*C$5*Inputs!C36*Inputs!C28*Inputs!C32</f>
        <v>2426.1120000000001</v>
      </c>
      <c r="D33" s="36">
        <f>D29*12*D$5*Inputs!D36*Inputs!D28*Inputs!D32</f>
        <v>1477.44</v>
      </c>
      <c r="E33" s="36">
        <f>E29*12*E$5*Inputs!E36*Inputs!E28*Inputs!E32</f>
        <v>685.58400000000006</v>
      </c>
      <c r="F33" s="13" t="s">
        <v>288</v>
      </c>
    </row>
    <row r="34" spans="1:6" ht="15" customHeight="1" x14ac:dyDescent="0.3">
      <c r="A34" s="10" t="s">
        <v>289</v>
      </c>
      <c r="B34" s="10" t="s">
        <v>255</v>
      </c>
      <c r="C34" s="36">
        <f>C29*12*C$5*Inputs!C36*Inputs!C$45*Inputs!C$46</f>
        <v>492.80400000000009</v>
      </c>
      <c r="D34" s="36">
        <f>D29*12*D$5*Inputs!D36*Inputs!D$45*Inputs!D$46</f>
        <v>443.23200000000003</v>
      </c>
      <c r="E34" s="36">
        <f>E29*12*E$5*Inputs!E36*Inputs!E$45*Inputs!E$46</f>
        <v>377.07119999999998</v>
      </c>
      <c r="F34" s="13" t="s">
        <v>290</v>
      </c>
    </row>
    <row r="35" spans="1:6" ht="15" customHeight="1" x14ac:dyDescent="0.3">
      <c r="A35" s="15" t="s">
        <v>291</v>
      </c>
      <c r="B35" s="10" t="s">
        <v>255</v>
      </c>
      <c r="C35" s="37">
        <f>C32-C33-C34</f>
        <v>-1736.1864000000003</v>
      </c>
      <c r="D35" s="37">
        <f>D32-D33-D34</f>
        <v>2997.9720000000011</v>
      </c>
      <c r="E35" s="37">
        <f>E32-E33-E34</f>
        <v>14648.644799999998</v>
      </c>
      <c r="F35" s="13" t="s">
        <v>292</v>
      </c>
    </row>
    <row r="37" spans="1:6" ht="15" customHeight="1" x14ac:dyDescent="0.3">
      <c r="A37" s="9" t="s">
        <v>293</v>
      </c>
    </row>
    <row r="38" spans="1:6" ht="15" customHeight="1" x14ac:dyDescent="0.3">
      <c r="A38" s="10" t="s">
        <v>294</v>
      </c>
      <c r="B38" s="10" t="s">
        <v>283</v>
      </c>
      <c r="C38" s="35">
        <f t="shared" ref="C38:E42" si="0">C11+C21+C31</f>
        <v>2596.6980000000008</v>
      </c>
      <c r="D38" s="35">
        <f t="shared" si="0"/>
        <v>6863.9400000000005</v>
      </c>
      <c r="E38" s="35">
        <f t="shared" si="0"/>
        <v>14854.319999999998</v>
      </c>
      <c r="F38" s="13" t="s">
        <v>295</v>
      </c>
    </row>
    <row r="39" spans="1:6" ht="15" customHeight="1" x14ac:dyDescent="0.3">
      <c r="A39" s="10" t="s">
        <v>285</v>
      </c>
      <c r="B39" s="10" t="s">
        <v>255</v>
      </c>
      <c r="C39" s="36">
        <f t="shared" si="0"/>
        <v>10127.122200000003</v>
      </c>
      <c r="D39" s="36">
        <f t="shared" si="0"/>
        <v>32260.518</v>
      </c>
      <c r="E39" s="36">
        <f t="shared" si="0"/>
        <v>81698.759999999995</v>
      </c>
      <c r="F39" s="13" t="s">
        <v>295</v>
      </c>
    </row>
    <row r="40" spans="1:6" ht="15" customHeight="1" x14ac:dyDescent="0.3">
      <c r="A40" s="10" t="s">
        <v>296</v>
      </c>
      <c r="B40" s="10" t="s">
        <v>255</v>
      </c>
      <c r="C40" s="36">
        <f t="shared" si="0"/>
        <v>23275.512000000002</v>
      </c>
      <c r="D40" s="36">
        <f t="shared" si="0"/>
        <v>14405.039999999999</v>
      </c>
      <c r="E40" s="36">
        <f t="shared" si="0"/>
        <v>5827.463999999999</v>
      </c>
      <c r="F40" s="13" t="s">
        <v>295</v>
      </c>
    </row>
    <row r="41" spans="1:6" ht="15" customHeight="1" x14ac:dyDescent="0.3">
      <c r="A41" s="10" t="s">
        <v>297</v>
      </c>
      <c r="B41" s="10" t="s">
        <v>255</v>
      </c>
      <c r="C41" s="36">
        <f t="shared" si="0"/>
        <v>2525.6205000000004</v>
      </c>
      <c r="D41" s="36">
        <f t="shared" si="0"/>
        <v>1994.5439999999996</v>
      </c>
      <c r="E41" s="36">
        <f t="shared" si="0"/>
        <v>1508.2847999999999</v>
      </c>
      <c r="F41" s="13" t="s">
        <v>295</v>
      </c>
    </row>
    <row r="42" spans="1:6" ht="15" customHeight="1" x14ac:dyDescent="0.3">
      <c r="A42" s="15" t="s">
        <v>298</v>
      </c>
      <c r="B42" s="10" t="s">
        <v>255</v>
      </c>
      <c r="C42" s="37">
        <f t="shared" si="0"/>
        <v>-15674.0103</v>
      </c>
      <c r="D42" s="37">
        <f t="shared" si="0"/>
        <v>15860.934000000003</v>
      </c>
      <c r="E42" s="37">
        <f t="shared" si="0"/>
        <v>74363.011199999994</v>
      </c>
      <c r="F42" s="13" t="s">
        <v>295</v>
      </c>
    </row>
    <row r="44" spans="1:6" ht="15" customHeight="1" x14ac:dyDescent="0.3">
      <c r="A44" s="10" t="s">
        <v>299</v>
      </c>
      <c r="B44" s="10" t="s">
        <v>167</v>
      </c>
      <c r="C44" s="38">
        <f>IF(Inputs!C6=0,0,C38/(Inputs!C6*12))</f>
        <v>2.0036250000000005E-2</v>
      </c>
      <c r="D44" s="38">
        <f>IF(Inputs!D6=0,0,D38/(Inputs!D6*12))</f>
        <v>4.766625E-2</v>
      </c>
      <c r="E44" s="38">
        <f>IF(Inputs!E6=0,0,E38/(Inputs!E6*12))</f>
        <v>8.9699999999999988E-2</v>
      </c>
      <c r="F44" s="13" t="s">
        <v>300</v>
      </c>
    </row>
    <row r="45" spans="1:6" ht="24" x14ac:dyDescent="0.3">
      <c r="A45" s="10" t="s">
        <v>301</v>
      </c>
      <c r="B45" s="10" t="s">
        <v>167</v>
      </c>
      <c r="C45" s="38">
        <f>IFERROR(C44/C5,0)</f>
        <v>6.1650000000000017E-2</v>
      </c>
      <c r="D45" s="38">
        <f>IFERROR(D44/D5,0)</f>
        <v>0.10034999999999999</v>
      </c>
      <c r="E45" s="38">
        <f>IFERROR(E44/E5,0)</f>
        <v>0.156</v>
      </c>
      <c r="F45" s="13" t="s">
        <v>302</v>
      </c>
    </row>
    <row r="46" spans="1:6" x14ac:dyDescent="0.3">
      <c r="A46" s="10" t="s">
        <v>303</v>
      </c>
      <c r="B46" s="10" t="s">
        <v>283</v>
      </c>
      <c r="C46" s="35">
        <f>C9*12*C5*Inputs!C34+C19*12*C5*Inputs!C35+C29*12*C5*Inputs!C36</f>
        <v>12951.900000000001</v>
      </c>
      <c r="D46" s="35">
        <f>D9*12*D5*Inputs!D34+D19*12*D5*Inputs!D35+D29*12*D5*Inputs!D36</f>
        <v>27701.999999999996</v>
      </c>
      <c r="E46" s="35">
        <f>E9*12*E5*Inputs!E34+E19*12*E5*Inputs!E35+E29*12*E5*Inputs!E36</f>
        <v>45705.599999999999</v>
      </c>
      <c r="F46" s="13" t="s">
        <v>304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2"/>
  <sheetViews>
    <sheetView zoomScaleNormal="100" workbookViewId="0">
      <pane ySplit="4" topLeftCell="A7" activePane="bottomLeft" state="frozen"/>
      <selection pane="bottomLeft"/>
    </sheetView>
  </sheetViews>
  <sheetFormatPr baseColWidth="10" defaultColWidth="8.6640625" defaultRowHeight="14.4" x14ac:dyDescent="0.3"/>
  <cols>
    <col min="1" max="1" width="54" customWidth="1"/>
    <col min="2" max="2" width="12" customWidth="1"/>
    <col min="3" max="5" width="15" customWidth="1"/>
    <col min="6" max="6" width="60" customWidth="1"/>
  </cols>
  <sheetData>
    <row r="1" spans="1:6" ht="17.25" customHeight="1" x14ac:dyDescent="0.3">
      <c r="A1" s="6" t="s">
        <v>305</v>
      </c>
    </row>
    <row r="2" spans="1:6" ht="15" customHeight="1" x14ac:dyDescent="0.3">
      <c r="A2" s="32" t="s">
        <v>306</v>
      </c>
    </row>
    <row r="4" spans="1:6" ht="27.75" customHeight="1" x14ac:dyDescent="0.3">
      <c r="A4" s="7" t="s">
        <v>270</v>
      </c>
      <c r="B4" s="7" t="s">
        <v>138</v>
      </c>
      <c r="C4" s="7" t="s">
        <v>139</v>
      </c>
      <c r="D4" s="7" t="s">
        <v>140</v>
      </c>
      <c r="E4" s="7" t="s">
        <v>141</v>
      </c>
      <c r="F4" s="7" t="s">
        <v>273</v>
      </c>
    </row>
    <row r="5" spans="1:6" ht="15" customHeight="1" x14ac:dyDescent="0.3">
      <c r="A5" s="9" t="s">
        <v>307</v>
      </c>
    </row>
    <row r="6" spans="1:6" ht="15" customHeight="1" x14ac:dyDescent="0.3">
      <c r="A6" s="10" t="s">
        <v>308</v>
      </c>
      <c r="B6" s="10" t="s">
        <v>255</v>
      </c>
      <c r="C6" s="39">
        <f>Upside!C42+N(Inputs!C67)+N(Inputs!C68)</f>
        <v>-15674.0103</v>
      </c>
      <c r="D6" s="39">
        <f>Upside!D42+N(Inputs!D67)+N(Inputs!D68)</f>
        <v>15860.934000000003</v>
      </c>
      <c r="E6" s="39">
        <f>Upside!E42+N(Inputs!E67)+N(Inputs!E68)</f>
        <v>74363.011199999994</v>
      </c>
      <c r="F6" s="13" t="s">
        <v>309</v>
      </c>
    </row>
    <row r="8" spans="1:6" ht="15" customHeight="1" x14ac:dyDescent="0.3">
      <c r="A8" s="9" t="s">
        <v>219</v>
      </c>
    </row>
    <row r="9" spans="1:6" ht="15" customHeight="1" x14ac:dyDescent="0.3">
      <c r="A9" s="10" t="s">
        <v>310</v>
      </c>
      <c r="B9" s="10" t="s">
        <v>255</v>
      </c>
      <c r="C9" s="39">
        <f>IFERROR(Inputs!C49/Inputs!C50,0)</f>
        <v>33333.333333333336</v>
      </c>
      <c r="D9" s="39">
        <f>IFERROR(Inputs!D49/Inputs!D50,0)</f>
        <v>20000</v>
      </c>
      <c r="E9" s="39">
        <f>IFERROR(Inputs!E49/Inputs!E50,0)</f>
        <v>13333.333333333334</v>
      </c>
      <c r="F9" s="13" t="s">
        <v>311</v>
      </c>
    </row>
    <row r="10" spans="1:6" ht="15" customHeight="1" x14ac:dyDescent="0.3">
      <c r="A10" s="10" t="s">
        <v>312</v>
      </c>
      <c r="B10" s="10" t="s">
        <v>255</v>
      </c>
      <c r="C10" s="39">
        <f>Inputs!C51</f>
        <v>30000</v>
      </c>
      <c r="D10" s="39">
        <f>Inputs!D51</f>
        <v>20000</v>
      </c>
      <c r="E10" s="39">
        <f>Inputs!E51</f>
        <v>12000</v>
      </c>
      <c r="F10" s="13"/>
    </row>
    <row r="11" spans="1:6" ht="15" customHeight="1" x14ac:dyDescent="0.3">
      <c r="A11" s="10" t="s">
        <v>313</v>
      </c>
      <c r="B11" s="10" t="s">
        <v>255</v>
      </c>
      <c r="C11" s="39">
        <f>Inputs!C52*Inputs!C53</f>
        <v>27500</v>
      </c>
      <c r="D11" s="39">
        <f>Inputs!D52*Inputs!D53</f>
        <v>13750</v>
      </c>
      <c r="E11" s="39">
        <f>Inputs!E52*Inputs!E53</f>
        <v>8250</v>
      </c>
      <c r="F11" s="13" t="s">
        <v>314</v>
      </c>
    </row>
    <row r="12" spans="1:6" ht="15" customHeight="1" x14ac:dyDescent="0.3">
      <c r="A12" s="10" t="s">
        <v>234</v>
      </c>
      <c r="B12" s="10" t="s">
        <v>255</v>
      </c>
      <c r="C12" s="39">
        <f>Inputs!C54</f>
        <v>20000</v>
      </c>
      <c r="D12" s="39">
        <f>Inputs!D54</f>
        <v>10000</v>
      </c>
      <c r="E12" s="39">
        <f>Inputs!E54</f>
        <v>6000</v>
      </c>
      <c r="F12" s="13"/>
    </row>
    <row r="13" spans="1:6" ht="15" customHeight="1" x14ac:dyDescent="0.3">
      <c r="A13" s="10" t="s">
        <v>315</v>
      </c>
      <c r="B13" s="10" t="s">
        <v>255</v>
      </c>
      <c r="C13" s="39">
        <f>Inputs!C55*Inputs!C56</f>
        <v>16000</v>
      </c>
      <c r="D13" s="39">
        <f>Inputs!D55*Inputs!D56</f>
        <v>7500</v>
      </c>
      <c r="E13" s="39">
        <f>Inputs!E55*Inputs!E56</f>
        <v>3000</v>
      </c>
      <c r="F13" s="13" t="s">
        <v>316</v>
      </c>
    </row>
    <row r="14" spans="1:6" ht="15" customHeight="1" x14ac:dyDescent="0.3">
      <c r="A14" s="15" t="s">
        <v>317</v>
      </c>
      <c r="B14" s="10" t="s">
        <v>255</v>
      </c>
      <c r="C14" s="37">
        <f>SUM(C9:C13)</f>
        <v>126833.33333333334</v>
      </c>
      <c r="D14" s="37">
        <f>SUM(D9:D13)</f>
        <v>71250</v>
      </c>
      <c r="E14" s="37">
        <f>SUM(E9:E13)</f>
        <v>42583.333333333336</v>
      </c>
      <c r="F14" s="13"/>
    </row>
    <row r="16" spans="1:6" ht="15" customHeight="1" x14ac:dyDescent="0.3">
      <c r="A16" s="9" t="s">
        <v>318</v>
      </c>
    </row>
    <row r="17" spans="1:6" ht="15" customHeight="1" x14ac:dyDescent="0.3">
      <c r="A17" s="15" t="s">
        <v>319</v>
      </c>
      <c r="B17" s="10" t="s">
        <v>255</v>
      </c>
      <c r="C17" s="37">
        <f>C6-C14</f>
        <v>-142507.34363333334</v>
      </c>
      <c r="D17" s="37">
        <f>D6-D14</f>
        <v>-55389.065999999999</v>
      </c>
      <c r="E17" s="37">
        <f>E6-E14</f>
        <v>31779.677866666658</v>
      </c>
      <c r="F17" s="13" t="s">
        <v>320</v>
      </c>
    </row>
    <row r="18" spans="1:6" ht="15" customHeight="1" x14ac:dyDescent="0.3">
      <c r="A18" s="10" t="s">
        <v>321</v>
      </c>
      <c r="B18" s="10" t="s">
        <v>249</v>
      </c>
      <c r="C18" s="40">
        <f>Inputs!C63</f>
        <v>0.3</v>
      </c>
      <c r="D18" s="40">
        <f>Inputs!D63</f>
        <v>0.5</v>
      </c>
      <c r="E18" s="40">
        <f>Inputs!E63</f>
        <v>0.2</v>
      </c>
      <c r="F18" s="13" t="s">
        <v>322</v>
      </c>
    </row>
    <row r="19" spans="1:6" ht="15" customHeight="1" x14ac:dyDescent="0.3">
      <c r="A19" s="15" t="s">
        <v>323</v>
      </c>
      <c r="B19" t="s">
        <v>255</v>
      </c>
      <c r="D19" s="41">
        <f>SUMPRODUCT(C17:E17,C18:E18)</f>
        <v>-64090.80051666667</v>
      </c>
      <c r="F19" s="19" t="s">
        <v>324</v>
      </c>
    </row>
    <row r="21" spans="1:6" ht="15" customHeight="1" x14ac:dyDescent="0.3">
      <c r="A21" s="9" t="s">
        <v>242</v>
      </c>
    </row>
    <row r="22" spans="1:6" ht="15" customHeight="1" x14ac:dyDescent="0.3">
      <c r="A22" s="10" t="s">
        <v>325</v>
      </c>
      <c r="B22" s="10" t="s">
        <v>255</v>
      </c>
      <c r="C22" s="39">
        <f>Inputs!C59*Inputs!C6*12*Inputs!C9</f>
        <v>25272</v>
      </c>
      <c r="D22" s="39">
        <f>Inputs!D59*Inputs!D6*12*Inputs!D9</f>
        <v>33840</v>
      </c>
      <c r="E22" s="39">
        <f>Inputs!E59*Inputs!E6*12*Inputs!E9</f>
        <v>45540</v>
      </c>
      <c r="F22" s="13" t="s">
        <v>326</v>
      </c>
    </row>
    <row r="23" spans="1:6" ht="15" customHeight="1" x14ac:dyDescent="0.3">
      <c r="A23" s="10" t="s">
        <v>327</v>
      </c>
      <c r="B23" s="10" t="s">
        <v>255</v>
      </c>
      <c r="C23" s="39">
        <f>Inputs!C60</f>
        <v>70000</v>
      </c>
      <c r="D23" s="39">
        <f>Inputs!D60</f>
        <v>70000</v>
      </c>
      <c r="E23" s="39">
        <f>Inputs!E60</f>
        <v>70000</v>
      </c>
      <c r="F23" s="13" t="s">
        <v>322</v>
      </c>
    </row>
    <row r="24" spans="1:6" ht="15" customHeight="1" x14ac:dyDescent="0.3">
      <c r="A24" s="10" t="s">
        <v>328</v>
      </c>
      <c r="B24" t="s">
        <v>255</v>
      </c>
      <c r="D24" s="36">
        <f>D19-D22</f>
        <v>-97930.80051666667</v>
      </c>
    </row>
    <row r="25" spans="1:6" ht="15" customHeight="1" x14ac:dyDescent="0.3">
      <c r="A25" s="10" t="s">
        <v>329</v>
      </c>
      <c r="B25" t="s">
        <v>255</v>
      </c>
      <c r="D25" s="36">
        <f>D19-D23</f>
        <v>-134090.80051666667</v>
      </c>
    </row>
    <row r="26" spans="1:6" ht="15" customHeight="1" x14ac:dyDescent="0.3">
      <c r="A26" s="10" t="s">
        <v>330</v>
      </c>
      <c r="D26" s="42" t="str">
        <f>IF(C17&gt;=C23,"yes","no")</f>
        <v>no</v>
      </c>
    </row>
    <row r="27" spans="1:6" ht="31.5" customHeight="1" x14ac:dyDescent="0.3">
      <c r="A27" s="15" t="s">
        <v>331</v>
      </c>
      <c r="D27" s="69" t="str">
        <f>IF(Inputs!D6="","— fill in the Inputs tab first —",IF(ABS(Inputs!D64-1)&gt;0.001,"— scenario probabilities must sum to 1 —",IF(D19&lt;D22,"NO-GO — does not beat do-nothing",IF(D19&lt;D23,"NO-GO — does not beat the next-best project",IF(C17&lt;D23,"CONDITIONAL GO — EV clears the hurdle, the pessimistic case does not: test the deflection assumption first","GO")))))</f>
        <v>NO-GO — does not beat do-nothing</v>
      </c>
      <c r="E27" s="62"/>
      <c r="F27" s="62"/>
    </row>
    <row r="29" spans="1:6" ht="15" customHeight="1" x14ac:dyDescent="0.3">
      <c r="A29" s="9" t="s">
        <v>332</v>
      </c>
    </row>
    <row r="30" spans="1:6" ht="15" customHeight="1" x14ac:dyDescent="0.3">
      <c r="A30" s="32" t="s">
        <v>333</v>
      </c>
    </row>
    <row r="31" spans="1:6" ht="27.75" customHeight="1" x14ac:dyDescent="0.3">
      <c r="A31" s="7" t="s">
        <v>334</v>
      </c>
      <c r="B31" s="7"/>
      <c r="C31" s="7" t="s">
        <v>335</v>
      </c>
      <c r="D31" s="7" t="s">
        <v>336</v>
      </c>
      <c r="E31" s="7" t="s">
        <v>337</v>
      </c>
      <c r="F31" s="7" t="s">
        <v>338</v>
      </c>
    </row>
    <row r="32" spans="1:6" ht="15" customHeight="1" x14ac:dyDescent="0.3">
      <c r="A32" s="43">
        <v>0.27</v>
      </c>
      <c r="C32" s="36">
        <f>(Upside!D9*A32*Inputs!D34*12*Upside!D$5)*Inputs!D$9-Upside!D13-Upside!D14+Upside!D25+Upside!D35-D14+N(Inputs!$D$67)+N(Inputs!$D$68)</f>
        <v>-55389.065999999999</v>
      </c>
      <c r="D32" s="36">
        <f>C32-D23</f>
        <v>-125389.06599999999</v>
      </c>
      <c r="E32" s="36">
        <f>C32-D22</f>
        <v>-89229.065999999992</v>
      </c>
      <c r="F32" s="10" t="str">
        <f>IF(Inputs!D6="","",IF(C32&lt;D22,"below do-nothing",IF(C32&lt;D23,"below the hurdle — the next-best project wins","clears the hurdle")))</f>
        <v>below do-nothing</v>
      </c>
    </row>
    <row r="33" spans="1:6" ht="15" customHeight="1" x14ac:dyDescent="0.3">
      <c r="A33" s="43">
        <v>0.4</v>
      </c>
      <c r="C33" s="36">
        <f>(Upside!D9*A33*Inputs!D34*12*Upside!D$5)*Inputs!D$9-Upside!D13-Upside!D14+Upside!D25+Upside!D35-D14+N(Inputs!$D$67)+N(Inputs!$D$68)</f>
        <v>-42224.459999999985</v>
      </c>
      <c r="D33" s="36">
        <f>C33-D23</f>
        <v>-112224.45999999999</v>
      </c>
      <c r="E33" s="36">
        <f>C33-D22</f>
        <v>-76064.459999999992</v>
      </c>
      <c r="F33" s="10" t="str">
        <f>IF(Inputs!D6="","",IF(C33&lt;D22,"below do-nothing",IF(C33&lt;D23,"below the hurdle — the next-best project wins","clears the hurdle")))</f>
        <v>below do-nothing</v>
      </c>
    </row>
    <row r="34" spans="1:6" ht="15" customHeight="1" x14ac:dyDescent="0.3">
      <c r="A34" s="43">
        <v>0.6</v>
      </c>
      <c r="C34" s="36">
        <f>(Upside!D9*A34*Inputs!D34*12*Upside!D$5)*Inputs!D$9-Upside!D13-Upside!D14+Upside!D25+Upside!D35-D14+N(Inputs!$D$67)+N(Inputs!$D$68)</f>
        <v>-21971.220000000008</v>
      </c>
      <c r="D34" s="36">
        <f>C34-D23</f>
        <v>-91971.22</v>
      </c>
      <c r="E34" s="36">
        <f>C34-D22</f>
        <v>-55811.220000000008</v>
      </c>
      <c r="F34" s="10" t="str">
        <f>IF(Inputs!D6="","",IF(C34&lt;D22,"below do-nothing",IF(C34&lt;D23,"below the hurdle — the next-best project wins","clears the hurdle")))</f>
        <v>below do-nothing</v>
      </c>
    </row>
    <row r="35" spans="1:6" ht="15" customHeight="1" x14ac:dyDescent="0.3">
      <c r="A35" s="43">
        <v>0.8</v>
      </c>
      <c r="C35" s="36">
        <f>(Upside!D9*A35*Inputs!D34*12*Upside!D$5)*Inputs!D$9-Upside!D13-Upside!D14+Upside!D25+Upside!D35-D14+N(Inputs!$D$67)+N(Inputs!$D$68)</f>
        <v>-1717.9799999999959</v>
      </c>
      <c r="D35" s="36">
        <f>C35-D23</f>
        <v>-71717.98</v>
      </c>
      <c r="E35" s="36">
        <f>C35-D22</f>
        <v>-35557.979999999996</v>
      </c>
      <c r="F35" s="10" t="str">
        <f>IF(Inputs!D6="","",IF(C35&lt;D22,"below do-nothing",IF(C35&lt;D23,"below the hurdle — the next-best project wins","clears the hurdle")))</f>
        <v>below do-nothing</v>
      </c>
    </row>
    <row r="36" spans="1:6" ht="15" customHeight="1" x14ac:dyDescent="0.3">
      <c r="A36" s="43">
        <v>1</v>
      </c>
      <c r="C36" s="36">
        <f>(Upside!D9*A36*Inputs!D34*12*Upside!D$5)*Inputs!D$9-Upside!D13-Upside!D14+Upside!D25+Upside!D35-D14+N(Inputs!$D$67)+N(Inputs!$D$68)</f>
        <v>18535.259999999966</v>
      </c>
      <c r="D36" s="36">
        <f>C36-D23</f>
        <v>-51464.740000000034</v>
      </c>
      <c r="E36" s="36">
        <f>C36-D22</f>
        <v>-15304.740000000034</v>
      </c>
      <c r="F36" s="10" t="str">
        <f>IF(Inputs!D6="","",IF(C36&lt;D22,"below do-nothing",IF(C36&lt;D23,"below the hurdle — the next-best project wins","clears the hurdle")))</f>
        <v>below do-nothing</v>
      </c>
    </row>
    <row r="38" spans="1:6" ht="42" customHeight="1" x14ac:dyDescent="0.3">
      <c r="A38" s="68" t="s">
        <v>339</v>
      </c>
      <c r="B38" s="62"/>
      <c r="C38" s="62"/>
      <c r="D38" s="62"/>
      <c r="E38" s="62"/>
      <c r="F38" s="62"/>
    </row>
    <row r="40" spans="1:6" x14ac:dyDescent="0.3">
      <c r="A40" s="10" t="s">
        <v>340</v>
      </c>
      <c r="B40" t="s">
        <v>255</v>
      </c>
      <c r="C40" s="37">
        <f>IFERROR(C6/Upside!C5-C14,0)</f>
        <v>-175061.05733333333</v>
      </c>
      <c r="D40" s="37">
        <f>IFERROR(D6/Upside!D5-D14,0)</f>
        <v>-37858.559999999998</v>
      </c>
      <c r="E40" s="37">
        <f>IFERROR(E6/Upside!E5-E14,0)</f>
        <v>86743.642666666652</v>
      </c>
      <c r="F40" t="s">
        <v>341</v>
      </c>
    </row>
    <row r="41" spans="1:6" x14ac:dyDescent="0.3">
      <c r="A41" s="10" t="s">
        <v>342</v>
      </c>
      <c r="B41" t="s">
        <v>255</v>
      </c>
      <c r="D41" s="37">
        <f>MAX(0,D23-D19)</f>
        <v>134090.80051666667</v>
      </c>
      <c r="F41" t="s">
        <v>343</v>
      </c>
    </row>
    <row r="42" spans="1:6" x14ac:dyDescent="0.3">
      <c r="A42" s="10" t="s">
        <v>344</v>
      </c>
      <c r="B42" t="s">
        <v>255</v>
      </c>
      <c r="D42" s="37">
        <f>MAX(0,D22-D19)</f>
        <v>97930.80051666667</v>
      </c>
      <c r="F42" t="s">
        <v>345</v>
      </c>
    </row>
  </sheetData>
  <mergeCells count="2">
    <mergeCell ref="A38:F38"/>
    <mergeCell ref="D27:F27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9"/>
  <sheetViews>
    <sheetView showGridLines="0" tabSelected="1" zoomScaleNormal="100" workbookViewId="0"/>
  </sheetViews>
  <sheetFormatPr baseColWidth="10" defaultColWidth="8.6640625" defaultRowHeight="14.4" x14ac:dyDescent="0.3"/>
  <cols>
    <col min="1" max="1" width="6" customWidth="1"/>
    <col min="2" max="2" width="70" customWidth="1"/>
    <col min="3" max="5" width="11" customWidth="1"/>
    <col min="6" max="6" width="13" customWidth="1"/>
    <col min="7" max="7" width="60" customWidth="1"/>
  </cols>
  <sheetData>
    <row r="1" spans="1:7" ht="17.25" customHeight="1" x14ac:dyDescent="0.3">
      <c r="A1" s="6" t="s">
        <v>346</v>
      </c>
      <c r="B1" s="44"/>
      <c r="C1" s="44"/>
      <c r="D1" s="44"/>
      <c r="E1" s="44"/>
      <c r="F1" s="44"/>
      <c r="G1" s="44"/>
    </row>
    <row r="2" spans="1:7" ht="31.5" customHeight="1" x14ac:dyDescent="0.3">
      <c r="A2" s="65" t="s">
        <v>347</v>
      </c>
      <c r="B2" s="62"/>
      <c r="C2" s="62"/>
      <c r="D2" s="62"/>
      <c r="E2" s="62"/>
      <c r="F2" s="62"/>
      <c r="G2" s="62"/>
    </row>
    <row r="3" spans="1:7" ht="15" customHeight="1" x14ac:dyDescent="0.3">
      <c r="A3" s="44"/>
      <c r="B3" s="44"/>
      <c r="C3" s="44"/>
      <c r="D3" s="44"/>
      <c r="E3" s="44"/>
      <c r="F3" s="44"/>
      <c r="G3" s="44"/>
    </row>
    <row r="4" spans="1:7" ht="15" customHeight="1" x14ac:dyDescent="0.3">
      <c r="A4" s="45" t="s">
        <v>348</v>
      </c>
      <c r="B4" s="45" t="s">
        <v>349</v>
      </c>
      <c r="C4" s="45" t="s">
        <v>350</v>
      </c>
      <c r="D4" s="45" t="s">
        <v>351</v>
      </c>
      <c r="E4" s="45" t="s">
        <v>352</v>
      </c>
      <c r="F4" s="45" t="s">
        <v>353</v>
      </c>
      <c r="G4" s="45" t="s">
        <v>354</v>
      </c>
    </row>
    <row r="5" spans="1:7" ht="39.450000000000003" customHeight="1" x14ac:dyDescent="0.3">
      <c r="A5" s="46" t="s">
        <v>355</v>
      </c>
      <c r="B5" s="47" t="s">
        <v>356</v>
      </c>
      <c r="C5" s="48">
        <v>0.05</v>
      </c>
      <c r="D5" s="49">
        <v>1</v>
      </c>
      <c r="E5" s="49">
        <v>4</v>
      </c>
      <c r="F5" s="49">
        <v>3</v>
      </c>
      <c r="G5" s="50" t="s">
        <v>357</v>
      </c>
    </row>
    <row r="6" spans="1:7" ht="39.450000000000003" customHeight="1" x14ac:dyDescent="0.3">
      <c r="A6" s="46" t="s">
        <v>358</v>
      </c>
      <c r="B6" s="47" t="s">
        <v>359</v>
      </c>
      <c r="C6" s="48">
        <v>0.1</v>
      </c>
      <c r="D6" s="49">
        <v>4</v>
      </c>
      <c r="E6" s="49">
        <v>2</v>
      </c>
      <c r="F6" s="49">
        <v>5</v>
      </c>
      <c r="G6" s="50" t="s">
        <v>360</v>
      </c>
    </row>
    <row r="7" spans="1:7" ht="39.450000000000003" customHeight="1" x14ac:dyDescent="0.3">
      <c r="A7" s="46" t="s">
        <v>361</v>
      </c>
      <c r="B7" s="47" t="s">
        <v>362</v>
      </c>
      <c r="C7" s="48">
        <v>0.1</v>
      </c>
      <c r="D7" s="49">
        <v>2</v>
      </c>
      <c r="E7" s="49">
        <v>3</v>
      </c>
      <c r="F7" s="49">
        <v>4</v>
      </c>
      <c r="G7" s="50" t="s">
        <v>363</v>
      </c>
    </row>
    <row r="8" spans="1:7" ht="28.05" customHeight="1" x14ac:dyDescent="0.3">
      <c r="A8" s="46" t="s">
        <v>364</v>
      </c>
      <c r="B8" s="47" t="s">
        <v>365</v>
      </c>
      <c r="C8" s="48">
        <v>0.1</v>
      </c>
      <c r="D8" s="49">
        <v>1</v>
      </c>
      <c r="E8" s="49">
        <v>5</v>
      </c>
      <c r="F8" s="49">
        <v>3</v>
      </c>
      <c r="G8" s="50" t="s">
        <v>366</v>
      </c>
    </row>
    <row r="9" spans="1:7" ht="39.450000000000003" customHeight="1" x14ac:dyDescent="0.3">
      <c r="A9" s="46" t="s">
        <v>367</v>
      </c>
      <c r="B9" s="47" t="s">
        <v>368</v>
      </c>
      <c r="C9" s="48">
        <v>0.1</v>
      </c>
      <c r="D9" s="49">
        <v>1</v>
      </c>
      <c r="E9" s="49">
        <v>5</v>
      </c>
      <c r="F9" s="49">
        <v>3</v>
      </c>
      <c r="G9" s="50" t="s">
        <v>369</v>
      </c>
    </row>
    <row r="10" spans="1:7" ht="39.450000000000003" customHeight="1" x14ac:dyDescent="0.3">
      <c r="A10" s="46" t="s">
        <v>370</v>
      </c>
      <c r="B10" s="47" t="s">
        <v>371</v>
      </c>
      <c r="C10" s="48">
        <v>0.15</v>
      </c>
      <c r="D10" s="49">
        <v>1</v>
      </c>
      <c r="E10" s="49">
        <v>4</v>
      </c>
      <c r="F10" s="49">
        <v>3</v>
      </c>
      <c r="G10" s="50" t="s">
        <v>372</v>
      </c>
    </row>
    <row r="11" spans="1:7" ht="28.05" customHeight="1" x14ac:dyDescent="0.3">
      <c r="A11" s="46" t="s">
        <v>373</v>
      </c>
      <c r="B11" s="47" t="s">
        <v>374</v>
      </c>
      <c r="C11" s="48">
        <v>0.05</v>
      </c>
      <c r="D11" s="49">
        <v>1</v>
      </c>
      <c r="E11" s="49">
        <v>5</v>
      </c>
      <c r="F11" s="49">
        <v>3</v>
      </c>
      <c r="G11" s="50" t="s">
        <v>375</v>
      </c>
    </row>
    <row r="12" spans="1:7" ht="39.450000000000003" customHeight="1" x14ac:dyDescent="0.3">
      <c r="A12" s="46" t="s">
        <v>376</v>
      </c>
      <c r="B12" s="47" t="s">
        <v>377</v>
      </c>
      <c r="C12" s="48">
        <v>0.15</v>
      </c>
      <c r="D12" s="49">
        <v>5</v>
      </c>
      <c r="E12" s="49">
        <v>2</v>
      </c>
      <c r="F12" s="49">
        <v>3</v>
      </c>
      <c r="G12" s="50" t="s">
        <v>378</v>
      </c>
    </row>
    <row r="13" spans="1:7" ht="28.05" customHeight="1" x14ac:dyDescent="0.3">
      <c r="A13" s="46" t="s">
        <v>379</v>
      </c>
      <c r="B13" s="47" t="s">
        <v>380</v>
      </c>
      <c r="C13" s="48">
        <v>0.05</v>
      </c>
      <c r="D13" s="49">
        <v>5</v>
      </c>
      <c r="E13" s="49">
        <v>2</v>
      </c>
      <c r="F13" s="49">
        <v>4</v>
      </c>
      <c r="G13" s="50" t="s">
        <v>381</v>
      </c>
    </row>
    <row r="14" spans="1:7" ht="28.05" customHeight="1" x14ac:dyDescent="0.3">
      <c r="A14" s="46" t="s">
        <v>382</v>
      </c>
      <c r="B14" s="47" t="s">
        <v>383</v>
      </c>
      <c r="C14" s="48">
        <v>0.15</v>
      </c>
      <c r="D14" s="49">
        <v>5</v>
      </c>
      <c r="E14" s="49">
        <v>2</v>
      </c>
      <c r="F14" s="49">
        <v>4</v>
      </c>
      <c r="G14" s="50" t="s">
        <v>384</v>
      </c>
    </row>
    <row r="15" spans="1:7" ht="15" customHeight="1" x14ac:dyDescent="0.3">
      <c r="A15" s="44"/>
      <c r="B15" s="44"/>
      <c r="C15" s="44"/>
      <c r="D15" s="44"/>
      <c r="E15" s="44"/>
      <c r="F15" s="44"/>
      <c r="G15" s="44"/>
    </row>
    <row r="16" spans="1:7" ht="15" customHeight="1" x14ac:dyDescent="0.3">
      <c r="A16" s="44"/>
      <c r="B16" s="31" t="s">
        <v>385</v>
      </c>
      <c r="C16" s="51">
        <f>SUM(C5:C14)</f>
        <v>1</v>
      </c>
      <c r="D16" s="44"/>
      <c r="E16" s="44"/>
      <c r="F16" s="44"/>
      <c r="G16" s="44"/>
    </row>
    <row r="17" spans="1:7" ht="15" customHeight="1" x14ac:dyDescent="0.3">
      <c r="A17" s="44"/>
      <c r="B17" s="52" t="s">
        <v>386</v>
      </c>
      <c r="C17" s="44"/>
      <c r="D17" s="53">
        <f>IFERROR(IF(COUNT(D5:D14)=0,"",SUMPRODUCT($C$5:$C$14,D5:D14)/SUM($C$5:$C$14)),"")</f>
        <v>2.8</v>
      </c>
      <c r="E17" s="53">
        <f>IFERROR(IF(COUNT(E5:E14)=0,"",SUMPRODUCT($C$5:$C$14,E5:E14)/SUM($C$5:$C$14)),"")</f>
        <v>3.25</v>
      </c>
      <c r="F17" s="53">
        <f>IFERROR(IF(COUNT(F5:F14)=0,"",SUMPRODUCT($C$5:$C$14,F5:F14)/SUM($C$5:$C$14)),"")</f>
        <v>3.5000000000000004</v>
      </c>
      <c r="G17" s="44"/>
    </row>
    <row r="18" spans="1:7" ht="52.05" customHeight="1" x14ac:dyDescent="0.3">
      <c r="A18" s="44"/>
      <c r="B18" s="52" t="s">
        <v>387</v>
      </c>
      <c r="C18" s="44"/>
      <c r="D18" s="9" t="str">
        <f>IF(COUNT(D17:F17)=0,"— score the three options —",IF(ABS(C16-1)&gt;0.001,"— weights must sum to 100 % —",INDEX($D$4:$F$4,MATCH(MAX(D17:F17),D17:F17,0))))</f>
        <v>Orchestrate</v>
      </c>
      <c r="E18" s="44"/>
      <c r="F18" s="44"/>
      <c r="G18" s="31" t="s">
        <v>388</v>
      </c>
    </row>
    <row r="19" spans="1:7" ht="15" customHeight="1" x14ac:dyDescent="0.3">
      <c r="A19" s="44"/>
      <c r="B19" s="44"/>
      <c r="C19" s="44"/>
      <c r="D19" s="44"/>
      <c r="E19" s="44"/>
      <c r="F19" s="44"/>
      <c r="G19" s="44"/>
    </row>
    <row r="20" spans="1:7" ht="15" customHeight="1" x14ac:dyDescent="0.3">
      <c r="A20" s="44"/>
      <c r="B20" s="44"/>
      <c r="C20" s="44"/>
      <c r="D20" s="44"/>
      <c r="E20" s="44"/>
      <c r="F20" s="44"/>
      <c r="G20" s="44"/>
    </row>
    <row r="21" spans="1:7" ht="15" customHeight="1" x14ac:dyDescent="0.3">
      <c r="A21" s="9" t="s">
        <v>389</v>
      </c>
      <c r="B21" s="44"/>
      <c r="C21" s="44"/>
      <c r="D21" s="44"/>
      <c r="E21" s="44"/>
      <c r="F21" s="44"/>
      <c r="G21" s="44"/>
    </row>
    <row r="22" spans="1:7" ht="64.5" customHeight="1" x14ac:dyDescent="0.3">
      <c r="A22" s="44"/>
      <c r="B22" s="54" t="s">
        <v>390</v>
      </c>
      <c r="C22" s="44"/>
      <c r="D22" s="55">
        <v>50</v>
      </c>
      <c r="E22" s="56" t="s">
        <v>391</v>
      </c>
      <c r="F22" s="44"/>
      <c r="G22" s="31" t="s">
        <v>392</v>
      </c>
    </row>
    <row r="23" spans="1:7" ht="15" customHeight="1" x14ac:dyDescent="0.3">
      <c r="A23" s="44"/>
      <c r="B23" s="54" t="s">
        <v>393</v>
      </c>
      <c r="C23" s="44"/>
      <c r="D23" s="60">
        <f>Inputs!D7</f>
        <v>18</v>
      </c>
      <c r="E23" s="56" t="s">
        <v>394</v>
      </c>
      <c r="F23" s="44"/>
      <c r="G23" s="31" t="s">
        <v>322</v>
      </c>
    </row>
    <row r="24" spans="1:7" ht="15" customHeight="1" x14ac:dyDescent="0.3">
      <c r="A24" s="44"/>
      <c r="B24" s="52" t="s">
        <v>395</v>
      </c>
      <c r="C24" s="44"/>
      <c r="D24" s="58">
        <f>IFERROR(D22*D23*12,0)</f>
        <v>10800</v>
      </c>
      <c r="E24" s="56" t="s">
        <v>255</v>
      </c>
      <c r="F24" s="44"/>
      <c r="G24" s="31" t="s">
        <v>396</v>
      </c>
    </row>
    <row r="25" spans="1:7" ht="15" customHeight="1" x14ac:dyDescent="0.3">
      <c r="A25" s="44"/>
      <c r="B25" s="54" t="s">
        <v>397</v>
      </c>
      <c r="C25" s="44"/>
      <c r="D25" s="57">
        <f>Upside!D41</f>
        <v>1994.5439999999996</v>
      </c>
      <c r="E25" s="56" t="s">
        <v>255</v>
      </c>
      <c r="F25" s="44"/>
      <c r="G25" s="31" t="s">
        <v>398</v>
      </c>
    </row>
    <row r="26" spans="1:7" ht="15" customHeight="1" x14ac:dyDescent="0.3">
      <c r="A26" s="44"/>
      <c r="B26" s="54" t="s">
        <v>399</v>
      </c>
      <c r="C26" s="44"/>
      <c r="D26" s="57">
        <f>Decision!D9+Decision!D10+Decision!D13</f>
        <v>47500</v>
      </c>
      <c r="E26" s="56" t="s">
        <v>255</v>
      </c>
      <c r="F26" s="44"/>
      <c r="G26" s="31" t="s">
        <v>400</v>
      </c>
    </row>
    <row r="27" spans="1:7" ht="15" customHeight="1" x14ac:dyDescent="0.3">
      <c r="A27" s="44"/>
      <c r="B27" s="52" t="s">
        <v>401</v>
      </c>
      <c r="C27" s="44"/>
      <c r="D27" s="58">
        <f>D25+D26</f>
        <v>49494.544000000002</v>
      </c>
      <c r="E27" s="56" t="s">
        <v>255</v>
      </c>
      <c r="F27" s="44"/>
      <c r="G27" s="31" t="s">
        <v>402</v>
      </c>
    </row>
    <row r="28" spans="1:7" ht="52.05" customHeight="1" x14ac:dyDescent="0.3">
      <c r="A28" s="44"/>
      <c r="B28" s="52" t="s">
        <v>403</v>
      </c>
      <c r="C28" s="44"/>
      <c r="D28" s="58">
        <f>D27-D24</f>
        <v>38694.544000000002</v>
      </c>
      <c r="E28" s="56" t="s">
        <v>255</v>
      </c>
      <c r="F28" s="44"/>
      <c r="G28" s="31" t="s">
        <v>404</v>
      </c>
    </row>
    <row r="29" spans="1:7" ht="15" customHeight="1" x14ac:dyDescent="0.3">
      <c r="A29" s="44"/>
      <c r="B29" s="44"/>
      <c r="C29" s="44"/>
      <c r="D29" s="44"/>
      <c r="E29" s="44"/>
      <c r="F29" s="44"/>
      <c r="G29" s="44"/>
    </row>
  </sheetData>
  <mergeCells count="1">
    <mergeCell ref="A2:G2"/>
  </mergeCells>
  <dataValidations count="1">
    <dataValidation type="whole" allowBlank="1" errorTitle="1 to 5" error="Score from 1 to 5" sqref="D5:F14" xr:uid="{00000000-0002-0000-0400-000000000000}">
      <formula1>1</formula1>
      <formula2>5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How to fill it</vt:lpstr>
      <vt:lpstr>Inputs</vt:lpstr>
      <vt:lpstr>Upside</vt:lpstr>
      <vt:lpstr>Decision</vt:lpstr>
      <vt:lpstr>Build or buy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Alexandre WAERNIERS</cp:lastModifiedBy>
  <cp:revision>0</cp:revision>
  <dcterms:created xsi:type="dcterms:W3CDTF">2026-09-30T14:11:07Z</dcterms:created>
  <dcterms:modified xsi:type="dcterms:W3CDTF">2026-10-30T10:55:47Z</dcterms:modified>
  <dc:language>en-US</dc:language>
</cp:coreProperties>
</file>