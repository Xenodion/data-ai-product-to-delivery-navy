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fill it" sheetId="1" state="visible" r:id="rId1"/>
    <sheet xmlns:r="http://schemas.openxmlformats.org/officeDocument/2006/relationships" name="Inputs" sheetId="2" state="visible" r:id="rId2"/>
    <sheet xmlns:r="http://schemas.openxmlformats.org/officeDocument/2006/relationships" name="Flow" sheetId="3" state="visible" r:id="rId3"/>
    <sheet xmlns:r="http://schemas.openxmlformats.org/officeDocument/2006/relationships" name="Read options" sheetId="4" state="visible" r:id="rId4"/>
    <sheet xmlns:r="http://schemas.openxmlformats.org/officeDocument/2006/relationships" name="Upside" sheetId="5" state="visible" r:id="rId5"/>
    <sheet xmlns:r="http://schemas.openxmlformats.org/officeDocument/2006/relationships" name="Decision" sheetId="6" state="visible" r:id="rId6"/>
    <sheet xmlns:r="http://schemas.openxmlformats.org/officeDocument/2006/relationships" name="Build or buy"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
    <numFmt numFmtId="165" formatCode="\€#,##0.00;&quot;(€&quot;#,##0.00\);\-"/>
    <numFmt numFmtId="166" formatCode="0.0"/>
    <numFmt numFmtId="167" formatCode="0.0%;\(0.0%\);\-"/>
    <numFmt numFmtId="168" formatCode="\€#,##0;&quot;(€&quot;#,##0\);\-"/>
    <numFmt numFmtId="169" formatCode="#,##0.00;\(#,##0.00\);\-"/>
    <numFmt numFmtId="170" formatCode="\€#,##0.00"/>
    <numFmt numFmtId="171" formatCode="\€0.0000"/>
    <numFmt numFmtId="172" formatCode="0.0&quot;x&quot;"/>
  </numFmts>
  <fonts count="36">
    <font>
      <name val="Calibri"/>
      <charset val="1"/>
      <family val="2"/>
      <color theme="1"/>
      <sz val="11"/>
    </font>
    <font>
      <name val="Arial"/>
      <family val="0"/>
      <sz val="10"/>
    </font>
    <font>
      <name val="Arial"/>
      <family val="0"/>
      <sz val="10"/>
    </font>
    <font>
      <name val="Arial"/>
      <family val="0"/>
      <sz val="10"/>
    </font>
    <font>
      <name val="Arial"/>
      <charset val="1"/>
      <family val="0"/>
      <b val="1"/>
      <color rgb="FF202448"/>
      <sz val="16"/>
    </font>
    <font>
      <name val="Arial"/>
      <charset val="1"/>
      <family val="0"/>
      <b val="1"/>
      <color rgb="FF035CA0"/>
      <sz val="12"/>
    </font>
    <font>
      <name val="Arial"/>
      <charset val="1"/>
      <family val="0"/>
      <color rgb="FF1F2937"/>
      <sz val="11"/>
    </font>
    <font>
      <name val="Arial"/>
      <charset val="1"/>
      <family val="0"/>
      <b val="1"/>
      <color rgb="FFFFFFFF"/>
      <sz val="11"/>
    </font>
    <font>
      <name val="Arial"/>
      <charset val="1"/>
      <family val="0"/>
      <b val="1"/>
      <color rgb="FF202448"/>
      <sz val="11"/>
    </font>
    <font>
      <name val="Arial"/>
      <charset val="1"/>
      <family val="0"/>
      <i val="1"/>
      <color rgb="FF6B7280"/>
      <sz val="11"/>
    </font>
    <font>
      <name val="Arial"/>
      <charset val="1"/>
      <family val="0"/>
      <b val="1"/>
      <color rgb="FF202448"/>
      <sz val="14"/>
    </font>
    <font>
      <name val="Arial"/>
      <charset val="1"/>
      <family val="0"/>
      <i val="1"/>
      <color rgb="FF6B7280"/>
      <sz val="9"/>
    </font>
    <font>
      <name val="Arial"/>
      <charset val="1"/>
      <family val="0"/>
      <b val="1"/>
      <color rgb="FFFFFFFF"/>
      <sz val="10"/>
    </font>
    <font>
      <name val="Arial"/>
      <charset val="1"/>
      <family val="0"/>
      <b val="1"/>
      <color rgb="FF035CA0"/>
      <sz val="11"/>
    </font>
    <font>
      <name val="Arial"/>
      <charset val="1"/>
      <family val="0"/>
      <color rgb="FF000000"/>
      <sz val="10"/>
    </font>
    <font>
      <name val="Arial"/>
      <charset val="1"/>
      <family val="0"/>
      <color rgb="FF0000FF"/>
      <sz val="11"/>
    </font>
    <font>
      <name val="Arial"/>
      <charset val="1"/>
      <family val="0"/>
      <color rgb="FF6B7280"/>
      <sz val="9"/>
    </font>
    <font>
      <name val="Arial"/>
      <charset val="1"/>
      <family val="0"/>
      <b val="1"/>
      <sz val="10"/>
    </font>
    <font>
      <name val="Arial"/>
      <charset val="1"/>
      <family val="0"/>
      <color rgb="FF008000"/>
      <sz val="10"/>
    </font>
    <font>
      <name val="Arial"/>
      <charset val="1"/>
      <family val="0"/>
      <b val="1"/>
      <color rgb="FF000000"/>
      <sz val="10"/>
    </font>
    <font>
      <name val="Arial"/>
      <charset val="1"/>
      <family val="0"/>
      <b val="1"/>
      <sz val="11"/>
    </font>
    <font>
      <name val="Arial"/>
      <charset val="1"/>
      <family val="0"/>
      <b val="1"/>
      <color rgb="FF035CA0"/>
      <sz val="10"/>
    </font>
    <font>
      <name val="Arial"/>
      <charset val="1"/>
      <family val="0"/>
      <color rgb="FF0000FF"/>
      <sz val="10"/>
    </font>
    <font>
      <name val="Arial"/>
      <charset val="1"/>
      <family val="2"/>
      <color theme="1"/>
      <sz val="11"/>
    </font>
    <font>
      <name val="Arial"/>
      <charset val="1"/>
      <family val="0"/>
      <b val="1"/>
      <color rgb="FF2EAEE0"/>
      <sz val="11"/>
    </font>
    <font>
      <name val="Arial"/>
      <charset val="1"/>
      <family val="0"/>
      <color rgb="FF202448"/>
      <sz val="11"/>
    </font>
    <font>
      <name val="Arial"/>
      <charset val="1"/>
      <family val="0"/>
      <color rgb="FF6B7280"/>
      <sz val="11"/>
    </font>
    <font>
      <name val="Arial"/>
      <charset val="1"/>
      <family val="0"/>
      <color rgb="FF008000"/>
      <sz val="11"/>
    </font>
    <font>
      <name val="Arial"/>
      <charset val="1"/>
      <family val="0"/>
      <b val="1"/>
      <color rgb="FF000000"/>
      <sz val="11"/>
    </font>
    <font>
      <color rgb="FF007A33"/>
    </font>
    <font>
      <b val="1"/>
      <sz val="14"/>
    </font>
    <font>
      <color rgb="FF6B7280"/>
    </font>
    <font>
      <b val="1"/>
    </font>
    <font>
      <b val="1"/>
      <color rgb="FF035CA0"/>
    </font>
    <font>
      <color rgb="FF0000FF"/>
    </font>
    <font>
      <color rgb="FF000000"/>
    </font>
  </fonts>
  <fills count="9">
    <fill>
      <patternFill/>
    </fill>
    <fill>
      <patternFill patternType="gray125"/>
    </fill>
    <fill>
      <patternFill patternType="solid">
        <fgColor rgb="FF202448"/>
        <bgColor rgb="FF1F2937"/>
      </patternFill>
    </fill>
    <fill>
      <patternFill patternType="solid">
        <fgColor rgb="FFF5F7FB"/>
        <bgColor rgb="FFFFFFFF"/>
      </patternFill>
    </fill>
    <fill>
      <patternFill patternType="solid">
        <fgColor rgb="FFFFF2CC"/>
        <bgColor rgb="FFF5F7FB"/>
      </patternFill>
    </fill>
    <fill>
      <patternFill patternType="solid">
        <fgColor rgb="FFEAEFF6"/>
        <bgColor rgb="FFF5F7FB"/>
      </patternFill>
    </fill>
    <fill>
      <patternFill patternType="solid">
        <fgColor rgb="FFFFFF00"/>
        <bgColor rgb="FFFFFF00"/>
      </patternFill>
    </fill>
    <fill>
      <patternFill patternType="solid">
        <fgColor rgb="FFE5E7EB"/>
      </patternFill>
    </fill>
    <fill>
      <patternFill patternType="solid">
        <fgColor rgb="FFFFF2CC"/>
      </patternFill>
    </fill>
  </fills>
  <borders count="2">
    <border>
      <left/>
      <right/>
      <top/>
      <bottom/>
      <diagonal/>
    </border>
    <border>
      <left style="thin">
        <color rgb="FFD5DBE8"/>
      </left>
      <right style="thin">
        <color rgb="FFD5DBE8"/>
      </right>
      <top style="thin">
        <color rgb="FFD5DBE8"/>
      </top>
      <bottom style="thin">
        <color rgb="FFD5DB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pivotButton="0" quotePrefix="0" xfId="0">
      <alignment horizontal="general" vertical="top" wrapText="1"/>
    </xf>
    <xf numFmtId="0" fontId="6" fillId="3"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bottom" wrapText="1"/>
    </xf>
    <xf numFmtId="0" fontId="12" fillId="2"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5" fillId="4" borderId="1" applyAlignment="1" pivotButton="0" quotePrefix="0" xfId="0">
      <alignment horizontal="general" vertical="bottom"/>
    </xf>
    <xf numFmtId="0" fontId="14" fillId="4" borderId="0" applyAlignment="1" pivotButton="0" quotePrefix="0" xfId="0">
      <alignment horizontal="general" vertical="bottom"/>
    </xf>
    <xf numFmtId="0" fontId="16" fillId="0" borderId="0" applyAlignment="1" pivotButton="0" quotePrefix="0" xfId="0">
      <alignment horizontal="general" vertical="bottom" wrapText="1"/>
    </xf>
    <xf numFmtId="164" fontId="9" fillId="0" borderId="0" applyAlignment="1" pivotButton="0" quotePrefix="0" xfId="0">
      <alignment horizontal="general" vertical="bottom"/>
    </xf>
    <xf numFmtId="0" fontId="17" fillId="0" borderId="0" applyAlignment="1" pivotButton="0" quotePrefix="0" xfId="0">
      <alignment horizontal="general" vertical="bottom"/>
    </xf>
    <xf numFmtId="165" fontId="15" fillId="4" borderId="1" applyAlignment="1" pivotButton="0" quotePrefix="0" xfId="0">
      <alignment horizontal="general" vertical="bottom"/>
    </xf>
    <xf numFmtId="165" fontId="9" fillId="0" borderId="0" applyAlignment="1" pivotButton="0" quotePrefix="0" xfId="0">
      <alignment horizontal="general" vertical="bottom"/>
    </xf>
    <xf numFmtId="165" fontId="14" fillId="0" borderId="1" applyAlignment="1" pivotButton="0" quotePrefix="0" xfId="0">
      <alignment horizontal="general" vertical="bottom"/>
    </xf>
    <xf numFmtId="0" fontId="16" fillId="0" borderId="0" applyAlignment="1" pivotButton="0" quotePrefix="0" xfId="0">
      <alignment horizontal="general" vertical="bottom"/>
    </xf>
    <xf numFmtId="166" fontId="14" fillId="0" borderId="1" applyAlignment="1" pivotButton="0" quotePrefix="0" xfId="0">
      <alignment horizontal="general" vertical="bottom"/>
    </xf>
    <xf numFmtId="0" fontId="15" fillId="4" borderId="0" applyAlignment="1" pivotButton="0" quotePrefix="0" xfId="0">
      <alignment horizontal="general" vertical="bottom"/>
    </xf>
    <xf numFmtId="167" fontId="15" fillId="4" borderId="1" applyAlignment="1" pivotButton="0" quotePrefix="0" xfId="0">
      <alignment horizontal="general" vertical="bottom"/>
    </xf>
    <xf numFmtId="167" fontId="9" fillId="0" borderId="0" applyAlignment="1" pivotButton="0" quotePrefix="0" xfId="0">
      <alignment horizontal="general" vertical="bottom"/>
    </xf>
    <xf numFmtId="168" fontId="15" fillId="4" borderId="1" applyAlignment="1" pivotButton="0" quotePrefix="0" xfId="0">
      <alignment horizontal="general" vertical="bottom"/>
    </xf>
    <xf numFmtId="168" fontId="9" fillId="0" borderId="0" applyAlignment="1" pivotButton="0" quotePrefix="0" xfId="0">
      <alignment horizontal="general" vertical="bottom"/>
    </xf>
    <xf numFmtId="169" fontId="15" fillId="4" borderId="1" applyAlignment="1" pivotButton="0" quotePrefix="0" xfId="0">
      <alignment horizontal="general" vertical="bottom"/>
    </xf>
    <xf numFmtId="169" fontId="9" fillId="0" borderId="0" applyAlignment="1" pivotButton="0" quotePrefix="0" xfId="0">
      <alignment horizontal="general" vertical="bottom"/>
    </xf>
    <xf numFmtId="169" fontId="14" fillId="0" borderId="1" applyAlignment="1" pivotButton="0" quotePrefix="0" xfId="0">
      <alignment horizontal="general" vertical="bottom"/>
    </xf>
    <xf numFmtId="0" fontId="6" fillId="0" borderId="0" applyAlignment="1" pivotButton="0" quotePrefix="0" xfId="0">
      <alignment horizontal="general" vertical="bottom"/>
    </xf>
    <xf numFmtId="168" fontId="15" fillId="4" borderId="0" applyAlignment="1" pivotButton="0" quotePrefix="0" xfId="0">
      <alignment horizontal="general" vertical="bottom"/>
    </xf>
    <xf numFmtId="0" fontId="9" fillId="0" borderId="0" applyAlignment="1" pivotButton="0" quotePrefix="0" xfId="0">
      <alignment horizontal="general" vertical="bottom"/>
    </xf>
    <xf numFmtId="0" fontId="11" fillId="0" borderId="0" applyAlignment="1" pivotButton="0" quotePrefix="0" xfId="0">
      <alignment horizontal="general" vertical="bottom"/>
    </xf>
    <xf numFmtId="167" fontId="18" fillId="0" borderId="1" applyAlignment="1" pivotButton="0" quotePrefix="0" xfId="0">
      <alignment horizontal="general" vertical="bottom"/>
    </xf>
    <xf numFmtId="164" fontId="18" fillId="0" borderId="1" applyAlignment="1" pivotButton="0" quotePrefix="0" xfId="0">
      <alignment horizontal="general" vertical="bottom"/>
    </xf>
    <xf numFmtId="164" fontId="14" fillId="0" borderId="1" applyAlignment="1" pivotButton="0" quotePrefix="0" xfId="0">
      <alignment horizontal="general" vertical="bottom"/>
    </xf>
    <xf numFmtId="168" fontId="14" fillId="0" borderId="1" applyAlignment="1" pivotButton="0" quotePrefix="0" xfId="0">
      <alignment horizontal="general" vertical="bottom"/>
    </xf>
    <xf numFmtId="168" fontId="19" fillId="0" borderId="1" applyAlignment="1" pivotButton="0" quotePrefix="0" xfId="0">
      <alignment horizontal="general" vertical="bottom"/>
    </xf>
    <xf numFmtId="167" fontId="14" fillId="0" borderId="1" applyAlignment="1" pivotButton="0" quotePrefix="0" xfId="0">
      <alignment horizontal="general" vertical="bottom"/>
    </xf>
    <xf numFmtId="168" fontId="18" fillId="0" borderId="1" applyAlignment="1" pivotButton="0" quotePrefix="0" xfId="0">
      <alignment horizontal="general" vertical="bottom"/>
    </xf>
    <xf numFmtId="169" fontId="18" fillId="0" borderId="1" applyAlignment="1" pivotButton="0" quotePrefix="0" xfId="0">
      <alignment horizontal="general" vertical="bottom"/>
    </xf>
    <xf numFmtId="168" fontId="20" fillId="5" borderId="1" applyAlignment="1" pivotButton="0" quotePrefix="0" xfId="0">
      <alignment horizontal="general" vertical="bottom"/>
    </xf>
    <xf numFmtId="0" fontId="14" fillId="0" borderId="1" applyAlignment="1" pivotButton="0" quotePrefix="0" xfId="0">
      <alignment horizontal="general" vertical="bottom"/>
    </xf>
    <xf numFmtId="0" fontId="21" fillId="6" borderId="0" applyAlignment="1" pivotButton="0" quotePrefix="0" xfId="0">
      <alignment horizontal="general" vertical="bottom" wrapText="1"/>
    </xf>
    <xf numFmtId="167" fontId="22" fillId="0" borderId="1"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7" fillId="2" borderId="0" applyAlignment="1" pivotButton="0" quotePrefix="0" xfId="0">
      <alignment horizontal="general" vertical="center" wrapText="1"/>
    </xf>
    <xf numFmtId="0" fontId="24" fillId="0" borderId="0" applyAlignment="1" pivotButton="0" quotePrefix="0" xfId="0">
      <alignment horizontal="general" vertical="top"/>
    </xf>
    <xf numFmtId="0" fontId="25" fillId="0" borderId="0" applyAlignment="1" pivotButton="0" quotePrefix="0" xfId="0">
      <alignment horizontal="general" vertical="top" wrapText="1"/>
    </xf>
    <xf numFmtId="9" fontId="15" fillId="4" borderId="0" applyAlignment="1" pivotButton="0" quotePrefix="0" xfId="0">
      <alignment horizontal="center" vertical="top"/>
    </xf>
    <xf numFmtId="0" fontId="15" fillId="4" borderId="0" applyAlignment="1" pivotButton="0" quotePrefix="0" xfId="0">
      <alignment horizontal="center" vertical="top"/>
    </xf>
    <xf numFmtId="0" fontId="23" fillId="4" borderId="0" applyAlignment="1" pivotButton="0" quotePrefix="0" xfId="0">
      <alignment horizontal="general" vertical="top" wrapText="1"/>
    </xf>
    <xf numFmtId="9" fontId="23" fillId="0" borderId="0" applyAlignment="1" pivotButton="0" quotePrefix="0" xfId="0">
      <alignment horizontal="general" vertical="bottom"/>
    </xf>
    <xf numFmtId="0" fontId="8" fillId="0" borderId="0" applyAlignment="1" pivotButton="0" quotePrefix="0" xfId="0">
      <alignment horizontal="general" vertical="bottom"/>
    </xf>
    <xf numFmtId="166" fontId="8" fillId="0" borderId="0" applyAlignment="1" pivotButton="0" quotePrefix="0" xfId="0">
      <alignment horizontal="center" vertical="bottom"/>
    </xf>
    <xf numFmtId="0" fontId="25" fillId="0" borderId="0" applyAlignment="1" pivotButton="0" quotePrefix="0" xfId="0">
      <alignment horizontal="general" vertical="bottom"/>
    </xf>
    <xf numFmtId="170" fontId="15" fillId="4" borderId="0" applyAlignment="1" pivotButton="0" quotePrefix="0" xfId="0">
      <alignment horizontal="general" vertical="bottom"/>
    </xf>
    <xf numFmtId="0" fontId="26" fillId="0" borderId="0" applyAlignment="1" pivotButton="0" quotePrefix="0" xfId="0">
      <alignment horizontal="general" vertical="bottom"/>
    </xf>
    <xf numFmtId="164" fontId="27" fillId="0" borderId="0" applyAlignment="1" pivotButton="0" quotePrefix="0" xfId="0">
      <alignment horizontal="general" vertical="bottom"/>
    </xf>
    <xf numFmtId="164" fontId="2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0" borderId="0" applyAlignment="1" pivotButton="0" quotePrefix="0" xfId="0">
      <alignment horizontal="general" vertical="top" wrapText="1"/>
    </xf>
    <xf numFmtId="0" fontId="8" fillId="3" borderId="0" applyAlignment="1" pivotButton="0" quotePrefix="0" xfId="0">
      <alignment horizontal="general" vertical="top" wrapText="1"/>
    </xf>
    <xf numFmtId="0" fontId="6" fillId="3"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bottom" wrapText="1"/>
    </xf>
    <xf numFmtId="0" fontId="12" fillId="2" borderId="1" applyAlignment="1" pivotButton="0" quotePrefix="0" xfId="0">
      <alignment horizontal="center" vertical="center" wrapText="1"/>
    </xf>
    <xf numFmtId="0" fontId="12" fillId="2" borderId="0"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164" fontId="15" fillId="4" borderId="1" applyAlignment="1" pivotButton="0" quotePrefix="0" xfId="0">
      <alignment horizontal="general" vertical="bottom"/>
    </xf>
    <xf numFmtId="0" fontId="14" fillId="4" borderId="0" applyAlignment="1" pivotButton="0" quotePrefix="0" xfId="0">
      <alignment horizontal="general" vertical="bottom"/>
    </xf>
    <xf numFmtId="0" fontId="16" fillId="0" borderId="0" applyAlignment="1" pivotButton="0" quotePrefix="0" xfId="0">
      <alignment horizontal="general" vertical="bottom" wrapText="1"/>
    </xf>
    <xf numFmtId="164" fontId="9" fillId="0" borderId="0" applyAlignment="1" pivotButton="0" quotePrefix="0" xfId="0">
      <alignment horizontal="general" vertical="bottom"/>
    </xf>
    <xf numFmtId="0" fontId="17" fillId="0" borderId="0" applyAlignment="1" pivotButton="0" quotePrefix="0" xfId="0">
      <alignment horizontal="general" vertical="bottom"/>
    </xf>
    <xf numFmtId="165" fontId="15" fillId="4" borderId="1" applyAlignment="1" pivotButton="0" quotePrefix="0" xfId="0">
      <alignment horizontal="general" vertical="bottom"/>
    </xf>
    <xf numFmtId="165" fontId="9" fillId="0" borderId="0" applyAlignment="1" pivotButton="0" quotePrefix="0" xfId="0">
      <alignment horizontal="general" vertical="bottom"/>
    </xf>
    <xf numFmtId="165" fontId="14" fillId="0" borderId="1" applyAlignment="1" pivotButton="0" quotePrefix="0" xfId="0">
      <alignment horizontal="general" vertical="bottom"/>
    </xf>
    <xf numFmtId="0" fontId="16" fillId="0" borderId="0" applyAlignment="1" pivotButton="0" quotePrefix="0" xfId="0">
      <alignment horizontal="general" vertical="bottom"/>
    </xf>
    <xf numFmtId="166" fontId="14" fillId="0" borderId="1" applyAlignment="1" pivotButton="0" quotePrefix="0" xfId="0">
      <alignment horizontal="general" vertical="bottom"/>
    </xf>
    <xf numFmtId="0" fontId="15" fillId="4" borderId="0" applyAlignment="1" pivotButton="0" quotePrefix="0" xfId="0">
      <alignment horizontal="general" vertical="bottom"/>
    </xf>
    <xf numFmtId="167" fontId="15" fillId="4" borderId="1" applyAlignment="1" pivotButton="0" quotePrefix="0" xfId="0">
      <alignment horizontal="general" vertical="bottom"/>
    </xf>
    <xf numFmtId="167" fontId="9" fillId="0" borderId="0" applyAlignment="1" pivotButton="0" quotePrefix="0" xfId="0">
      <alignment horizontal="general" vertical="bottom"/>
    </xf>
    <xf numFmtId="167" fontId="29" fillId="4" borderId="1" applyAlignment="1" pivotButton="0" quotePrefix="0" xfId="0">
      <alignment horizontal="general" vertical="bottom"/>
    </xf>
    <xf numFmtId="10" fontId="29" fillId="4" borderId="1" applyAlignment="1" pivotButton="0" quotePrefix="0" xfId="0">
      <alignment horizontal="general" vertical="bottom"/>
    </xf>
    <xf numFmtId="168" fontId="15" fillId="4" borderId="1" applyAlignment="1" pivotButton="0" quotePrefix="0" xfId="0">
      <alignment horizontal="general" vertical="bottom"/>
    </xf>
    <xf numFmtId="168" fontId="9" fillId="0" borderId="0" applyAlignment="1" pivotButton="0" quotePrefix="0" xfId="0">
      <alignment horizontal="general" vertical="bottom"/>
    </xf>
    <xf numFmtId="165" fontId="29" fillId="4" borderId="1" applyAlignment="1" pivotButton="0" quotePrefix="0" xfId="0">
      <alignment horizontal="general" vertical="bottom"/>
    </xf>
    <xf numFmtId="166" fontId="15" fillId="4" borderId="1" applyAlignment="1" pivotButton="0" quotePrefix="0" xfId="0">
      <alignment horizontal="general" vertical="bottom"/>
    </xf>
    <xf numFmtId="169" fontId="9" fillId="0" borderId="0" applyAlignment="1" pivotButton="0" quotePrefix="0" xfId="0">
      <alignment horizontal="general" vertical="bottom"/>
    </xf>
    <xf numFmtId="2" fontId="15" fillId="4" borderId="1" applyAlignment="1" pivotButton="0" quotePrefix="0" xfId="0">
      <alignment horizontal="general" vertical="bottom"/>
    </xf>
    <xf numFmtId="1" fontId="15" fillId="4" borderId="1" applyAlignment="1" pivotButton="0" quotePrefix="0" xfId="0">
      <alignment horizontal="general" vertical="bottom"/>
    </xf>
    <xf numFmtId="168" fontId="29" fillId="4" borderId="1" applyAlignment="1" pivotButton="0" quotePrefix="0" xfId="0">
      <alignment horizontal="general" vertical="bottom"/>
    </xf>
    <xf numFmtId="169" fontId="14" fillId="0" borderId="1" applyAlignment="1" pivotButton="0" quotePrefix="0" xfId="0">
      <alignment horizontal="general" vertical="bottom"/>
    </xf>
    <xf numFmtId="0" fontId="6" fillId="0" borderId="0" applyAlignment="1" pivotButton="0" quotePrefix="0" xfId="0">
      <alignment horizontal="general" vertical="bottom"/>
    </xf>
    <xf numFmtId="168" fontId="29" fillId="4" borderId="0" applyAlignment="1" pivotButton="0" quotePrefix="0" xfId="0">
      <alignment horizontal="general" vertical="bottom"/>
    </xf>
    <xf numFmtId="0" fontId="9" fillId="0" borderId="0" applyAlignment="1" pivotButton="0" quotePrefix="0" xfId="0">
      <alignment horizontal="general" vertical="bottom"/>
    </xf>
    <xf numFmtId="168" fontId="15" fillId="4" borderId="0" applyAlignment="1" pivotButton="0" quotePrefix="0" xfId="0">
      <alignment horizontal="general" vertical="bottom"/>
    </xf>
    <xf numFmtId="0" fontId="30" fillId="0" borderId="0" pivotButton="0" quotePrefix="0" xfId="0"/>
    <xf numFmtId="0" fontId="31" fillId="0" borderId="0" pivotButton="0" quotePrefix="0" xfId="0"/>
    <xf numFmtId="0" fontId="32" fillId="7" borderId="0" pivotButton="0" quotePrefix="0" xfId="0"/>
    <xf numFmtId="0" fontId="33" fillId="0" borderId="0" pivotButton="0" quotePrefix="0" xfId="0"/>
    <xf numFmtId="167" fontId="34" fillId="8" borderId="0" pivotButton="0" quotePrefix="0" xfId="0"/>
    <xf numFmtId="0" fontId="0" fillId="8" borderId="0" pivotButton="0" quotePrefix="0" xfId="0"/>
    <xf numFmtId="0" fontId="31" fillId="0" borderId="0" applyAlignment="1" pivotButton="0" quotePrefix="0" xfId="0">
      <alignment vertical="top" wrapText="1"/>
    </xf>
    <xf numFmtId="167" fontId="35" fillId="0" borderId="0" pivotButton="0" quotePrefix="0" xfId="0"/>
    <xf numFmtId="10" fontId="34" fillId="8" borderId="0" pivotButton="0" quotePrefix="0" xfId="0"/>
    <xf numFmtId="165" fontId="34" fillId="8" borderId="0" pivotButton="0" quotePrefix="0" xfId="0"/>
    <xf numFmtId="165" fontId="35" fillId="0" borderId="0" pivotButton="0" quotePrefix="0" xfId="0"/>
    <xf numFmtId="168" fontId="34" fillId="8" borderId="0" pivotButton="0" quotePrefix="0" xfId="0"/>
    <xf numFmtId="168" fontId="35" fillId="0" borderId="0" pivotButton="0" quotePrefix="0" xfId="0"/>
    <xf numFmtId="164" fontId="0" fillId="0" borderId="0" pivotButton="0" quotePrefix="0" xfId="0"/>
    <xf numFmtId="164" fontId="34" fillId="8" borderId="0" pivotButton="0" quotePrefix="0" xfId="0"/>
    <xf numFmtId="1" fontId="34" fillId="8" borderId="0" pivotButton="0" quotePrefix="0" xfId="0"/>
    <xf numFmtId="168" fontId="0" fillId="0" borderId="0" pivotButton="0" quotePrefix="0" xfId="0"/>
    <xf numFmtId="171" fontId="0" fillId="0" borderId="0" pivotButton="0" quotePrefix="0" xfId="0"/>
    <xf numFmtId="172" fontId="0" fillId="0" borderId="0" pivotButton="0" quotePrefix="0" xfId="0"/>
    <xf numFmtId="0" fontId="0" fillId="0" borderId="0" applyAlignment="1" pivotButton="0" quotePrefix="0" xfId="0">
      <alignment vertical="top" wrapText="1"/>
    </xf>
    <xf numFmtId="0" fontId="11" fillId="0" borderId="0" applyAlignment="1" pivotButton="0" quotePrefix="0" xfId="0">
      <alignment horizontal="general" vertical="bottom"/>
    </xf>
    <xf numFmtId="167" fontId="18" fillId="0" borderId="1" applyAlignment="1" pivotButton="0" quotePrefix="0" xfId="0">
      <alignment horizontal="general" vertical="bottom"/>
    </xf>
    <xf numFmtId="164" fontId="18" fillId="0" borderId="1" applyAlignment="1" pivotButton="0" quotePrefix="0" xfId="0">
      <alignment horizontal="general" vertical="bottom"/>
    </xf>
    <xf numFmtId="164" fontId="14" fillId="0" borderId="1" applyAlignment="1" pivotButton="0" quotePrefix="0" xfId="0">
      <alignment horizontal="general" vertical="bottom"/>
    </xf>
    <xf numFmtId="168" fontId="14" fillId="0" borderId="1" applyAlignment="1" pivotButton="0" quotePrefix="0" xfId="0">
      <alignment horizontal="general" vertical="bottom"/>
    </xf>
    <xf numFmtId="168" fontId="19" fillId="0" borderId="1" applyAlignment="1" pivotButton="0" quotePrefix="0" xfId="0">
      <alignment horizontal="general" vertical="bottom"/>
    </xf>
    <xf numFmtId="167" fontId="14" fillId="0" borderId="1" applyAlignment="1" pivotButton="0" quotePrefix="0" xfId="0">
      <alignment horizontal="general" vertical="bottom"/>
    </xf>
    <xf numFmtId="168" fontId="18" fillId="0" borderId="1" applyAlignment="1" pivotButton="0" quotePrefix="0" xfId="0">
      <alignment horizontal="general" vertical="bottom"/>
    </xf>
    <xf numFmtId="169" fontId="18" fillId="0" borderId="1" applyAlignment="1" pivotButton="0" quotePrefix="0" xfId="0">
      <alignment horizontal="general" vertical="bottom"/>
    </xf>
    <xf numFmtId="168" fontId="20" fillId="5" borderId="1" applyAlignment="1" pivotButton="0" quotePrefix="0" xfId="0">
      <alignment horizontal="general" vertical="bottom"/>
    </xf>
    <xf numFmtId="0" fontId="14" fillId="0" borderId="1" applyAlignment="1" pivotButton="0" quotePrefix="0" xfId="0">
      <alignment horizontal="general" vertical="bottom"/>
    </xf>
    <xf numFmtId="0" fontId="21" fillId="6" borderId="0" applyAlignment="1" pivotButton="0" quotePrefix="0" xfId="0">
      <alignment horizontal="general" vertical="bottom" wrapText="1"/>
    </xf>
    <xf numFmtId="167" fontId="22" fillId="0" borderId="1" applyAlignment="1" pivotButton="0" quotePrefix="0" xfId="0">
      <alignment horizontal="general" vertical="bottom"/>
    </xf>
    <xf numFmtId="0" fontId="23" fillId="0" borderId="0" applyAlignment="1" pivotButton="0" quotePrefix="0" xfId="0">
      <alignment horizontal="general" vertical="bottom"/>
    </xf>
    <xf numFmtId="0" fontId="7" fillId="2" borderId="0" applyAlignment="1" pivotButton="0" quotePrefix="0" xfId="0">
      <alignment horizontal="general" vertical="center" wrapText="1"/>
    </xf>
    <xf numFmtId="0" fontId="24" fillId="0" borderId="0" applyAlignment="1" pivotButton="0" quotePrefix="0" xfId="0">
      <alignment horizontal="general" vertical="top"/>
    </xf>
    <xf numFmtId="0" fontId="25" fillId="0" borderId="0" applyAlignment="1" pivotButton="0" quotePrefix="0" xfId="0">
      <alignment horizontal="general" vertical="top" wrapText="1"/>
    </xf>
    <xf numFmtId="9" fontId="15" fillId="4" borderId="0" applyAlignment="1" pivotButton="0" quotePrefix="0" xfId="0">
      <alignment horizontal="center" vertical="top"/>
    </xf>
    <xf numFmtId="0" fontId="15" fillId="4" borderId="0" applyAlignment="1" pivotButton="0" quotePrefix="0" xfId="0">
      <alignment horizontal="center" vertical="top"/>
    </xf>
    <xf numFmtId="0" fontId="23" fillId="4" borderId="0" applyAlignment="1" pivotButton="0" quotePrefix="0" xfId="0">
      <alignment horizontal="general" vertical="top" wrapText="1"/>
    </xf>
    <xf numFmtId="9" fontId="23" fillId="0" borderId="0" applyAlignment="1" pivotButton="0" quotePrefix="0" xfId="0">
      <alignment horizontal="general" vertical="bottom"/>
    </xf>
    <xf numFmtId="0" fontId="8" fillId="0" borderId="0" applyAlignment="1" pivotButton="0" quotePrefix="0" xfId="0">
      <alignment horizontal="general" vertical="bottom"/>
    </xf>
    <xf numFmtId="166" fontId="8" fillId="0" borderId="0" applyAlignment="1" pivotButton="0" quotePrefix="0" xfId="0">
      <alignment horizontal="center" vertical="bottom"/>
    </xf>
    <xf numFmtId="0" fontId="25" fillId="0" borderId="0" applyAlignment="1" pivotButton="0" quotePrefix="0" xfId="0">
      <alignment horizontal="general" vertical="bottom"/>
    </xf>
    <xf numFmtId="170" fontId="15" fillId="4" borderId="0" applyAlignment="1" pivotButton="0" quotePrefix="0" xfId="0">
      <alignment horizontal="general" vertical="bottom"/>
    </xf>
    <xf numFmtId="0" fontId="26" fillId="0" borderId="0" applyAlignment="1" pivotButton="0" quotePrefix="0" xfId="0">
      <alignment horizontal="general" vertical="bottom"/>
    </xf>
    <xf numFmtId="164" fontId="27" fillId="0" borderId="0" applyAlignment="1" pivotButton="0" quotePrefix="0" xfId="0">
      <alignment horizontal="general" vertical="bottom"/>
    </xf>
    <xf numFmtId="164" fontId="2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AEFF6"/>
      <rgbColor rgb="FF660066"/>
      <rgbColor rgb="FFFF8080"/>
      <rgbColor rgb="FF035CA0"/>
      <rgbColor rgb="FFD5DBE8"/>
      <rgbColor rgb="FF000080"/>
      <rgbColor rgb="FFFF00FF"/>
      <rgbColor rgb="FFFFFF00"/>
      <rgbColor rgb="FF00FFFF"/>
      <rgbColor rgb="FF800080"/>
      <rgbColor rgb="FF800000"/>
      <rgbColor rgb="FF008080"/>
      <rgbColor rgb="FF0000FF"/>
      <rgbColor rgb="FF00CCFF"/>
      <rgbColor rgb="FFF5F7FB"/>
      <rgbColor rgb="FFCCFFCC"/>
      <rgbColor rgb="FFFFFF99"/>
      <rgbColor rgb="FF99CCFF"/>
      <rgbColor rgb="FFFF99CC"/>
      <rgbColor rgb="FFCC99FF"/>
      <rgbColor rgb="FFFFCC99"/>
      <rgbColor rgb="FF3366FF"/>
      <rgbColor rgb="FF2EAEE0"/>
      <rgbColor rgb="FF99CC00"/>
      <rgbColor rgb="FFFFCC00"/>
      <rgbColor rgb="FFFF9900"/>
      <rgbColor rgb="FFFF6600"/>
      <rgbColor rgb="FF6B7280"/>
      <rgbColor rgb="FF969696"/>
      <rgbColor rgb="FF202448"/>
      <rgbColor rgb="FF339966"/>
      <rgbColor rgb="FF003300"/>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5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67" min="1" max="1"/>
    <col width="30" customWidth="1" style="67" min="2" max="2"/>
    <col width="26" customWidth="1" style="67" min="3" max="3"/>
    <col width="62" customWidth="1" style="67" min="4" max="5"/>
  </cols>
  <sheetData>
    <row r="2" ht="24" customHeight="1" s="68">
      <c r="B2" s="69" t="inlineStr">
        <is>
          <t>02_sizing — how to fill it in (Assignment 2)</t>
        </is>
      </c>
    </row>
    <row r="4" ht="15" customHeight="1" s="68">
      <c r="B4" s="70" t="inlineStr">
        <is>
          <t>WHICH PROJECT IS THIS ABOUT?</t>
        </is>
      </c>
    </row>
    <row r="5" ht="48" customHeight="1" s="68">
      <c r="B5" s="71" t="inlineStr">
        <is>
          <t>Your team's own project: the customer-support agent your team chose for the course (one of the proposals P1–P8 in the project document, or your own idea). One sheet per team, committed as 02_sizing.xlsx in your Git repository. It is NOT about Paylio: Paylio is the fictional company of the in-class exercise; it only appears in column H of the Inputs tab, to show what a filled-in cell looks like.</t>
        </is>
      </c>
    </row>
    <row r="7" ht="15" customHeight="1" s="68">
      <c r="B7" s="70" t="inlineStr">
        <is>
          <t>WHAT THE SHEET ANSWERS</t>
        </is>
      </c>
    </row>
    <row r="8" ht="48" customHeight="1" s="68">
      <c r="B8" s="71" t="inlineStr">
        <is>
          <t>Is your agent worth building for the company? You get: the net value per year in three scenarios (pessimistic, base, optimistic), an expected value, the comparison with doing nothing and with another project the same team could do, a decision (go / no-go / conditional go), the one assumption that flips the decision, and a build / buy / orchestrate score. Your memo (02_investment_memo.md) explains these numbers in one page.</t>
        </is>
      </c>
    </row>
    <row r="10" ht="15" customHeight="1" s="68">
      <c r="B10" s="70" t="inlineStr">
        <is>
          <t>WHERE YOUR NUMBERS COME FROM</t>
        </is>
      </c>
    </row>
    <row r="11" ht="48" customHeight="1" s="68">
      <c r="B11" s="71" t="inlineStr">
        <is>
          <t>1) Your company's numbers are in your proposal (table at the bottom of this tab): treat them as measured — they are your company's logs. 2) Orders of magnitude from the Session 2 slides (a human ticket costs €5–15 all-in; an LLM conversation €0.02–0.20): analogy. 3) Everything else is your estimate: write guess, and say in the note how you would check it. Every yellow cell gets a source type and a note.</t>
        </is>
      </c>
    </row>
    <row r="13" ht="15" customHeight="1" s="68">
      <c r="B13" s="70" t="inlineStr">
        <is>
          <t>STEP BY STEP — about one hour, as a team. Type only in the yellow cells.</t>
        </is>
      </c>
    </row>
    <row r="14" ht="15" customHeight="1" s="68">
      <c r="B14" s="72" t="inlineStr">
        <is>
          <t>Step</t>
        </is>
      </c>
      <c r="C14" s="72" t="inlineStr">
        <is>
          <t>Where</t>
        </is>
      </c>
      <c r="D14" s="72" t="inlineStr">
        <is>
          <t>What to enter</t>
        </is>
      </c>
      <c r="E14" s="72" t="inlineStr">
        <is>
          <t>Tip</t>
        </is>
      </c>
    </row>
    <row r="15" ht="33.75" customHeight="1" s="68">
      <c r="B15" s="73" t="inlineStr">
        <is>
          <t>1 · Volume and human cost</t>
        </is>
      </c>
      <c r="C15" s="71" t="inlineStr">
        <is>
          <t>Inputs, rows 6–9</t>
        </is>
      </c>
      <c r="D15" s="71" t="inlineStr">
        <is>
          <t>Tickets per month; number of support agents; what ONE agent costs the company per year (all-in); the cost of one ticket handled by a human.</t>
        </is>
      </c>
      <c r="E15" s="71" t="inlineStr">
        <is>
          <t>From your proposal. Row 10 gives the agent time per ticket from headcount (Paylio: 60 × €45k ÷ 480,000 ≈ €5.6; €10 all-in with team leads, QA and tools); row 11 the tickets per agent per day.</t>
        </is>
      </c>
    </row>
    <row r="16" ht="60" customHeight="1" s="68">
      <c r="B16" s="74" t="inlineStr">
        <is>
          <t>2 · Your categories</t>
        </is>
      </c>
      <c r="C16" s="75" t="inlineStr">
        <is>
          <t>Inputs, A14:A16 and rows 14–16</t>
        </is>
      </c>
      <c r="D16" s="75" t="inlineStr">
        <is>
          <t>Rename the three categories of work your agent deals with — ticket types, requests, incidents, accounts (e.g. P4: refund requests, delivery questions, account issues) — and give each one's share of the volume.</t>
        </is>
      </c>
      <c r="E16" s="75" t="inlineStr">
        <is>
          <t>Fewer than three? Set Include = 0 (rows 34–36) for the unused ones.</t>
        </is>
      </c>
    </row>
    <row r="17" ht="33.75" customHeight="1" s="68">
      <c r="B17" s="73" t="inlineStr">
        <is>
          <t>3 · Automatable share</t>
        </is>
      </c>
      <c r="C17" s="71" t="inlineStr">
        <is>
          <t>Inputs, rows 18–20</t>
        </is>
      </c>
      <c r="D17" s="71" t="inlineStr">
        <is>
          <t>In each category, the share of tickets the agent could handle at all (answerable from the documentation, the policy, the data it can see).</t>
        </is>
      </c>
      <c r="E17" s="71" t="inlineStr">
        <is>
          <t>Guess from a sample of tickets — and say how you would check it.</t>
        </is>
      </c>
    </row>
    <row r="18" ht="33.75" customHeight="1" s="68">
      <c r="B18" s="74" t="inlineStr">
        <is>
          <t>4 · Deflection realised</t>
        </is>
      </c>
      <c r="C18" s="75" t="inlineStr">
        <is>
          <t>Inputs, rows 22–24</t>
        </is>
      </c>
      <c r="D18" s="75" t="inlineStr">
        <is>
          <t>Of those, the share actually resolved without a human once live.</t>
        </is>
      </c>
      <c r="E18" s="75" t="inlineStr">
        <is>
          <t>Usually THE assumption that flips the decision: mark it “guess → S4 test”.</t>
        </is>
      </c>
    </row>
    <row r="19" ht="45.75" customHeight="1" s="68">
      <c r="B19" s="73" t="inlineStr">
        <is>
          <t>5 · Errors and what they cost</t>
        </is>
      </c>
      <c r="C19" s="71" t="inlineStr">
        <is>
          <t>Inputs, rows 26–32</t>
        </is>
      </c>
      <c r="D19" s="71" t="inlineStr">
        <is>
          <t>The error rate per category, and the cost in € of one wrong answer (customer retries, refund leakage, penalty, churn, a legal case).</t>
        </is>
      </c>
      <c r="E19" s="71" t="inlineStr">
        <is>
          <t>The costly categories are where a human must stay — that is a scope decision (step 6).</t>
        </is>
      </c>
    </row>
    <row r="20" ht="30" customHeight="1" s="68">
      <c r="B20" s="74" t="inlineStr">
        <is>
          <t>6 · Scope</t>
        </is>
      </c>
      <c r="C20" s="75" t="inlineStr">
        <is>
          <t>Inputs, rows 34–36</t>
        </is>
      </c>
      <c r="D20" s="75" t="inlineStr">
        <is>
          <t>1 = the agent handles this category, 0 = it does not.</t>
        </is>
      </c>
      <c r="E20" s="75" t="inlineStr">
        <is>
          <t>Try 0 on the riskiest category and watch the decision.</t>
        </is>
      </c>
    </row>
    <row r="21" ht="33.75" customHeight="1" s="68">
      <c r="B21" s="73" t="inlineStr">
        <is>
          <t>7 · Adoption by quarter</t>
        </is>
      </c>
      <c r="C21" s="71" t="inlineStr">
        <is>
          <t>Inputs, rows 39–42</t>
        </is>
      </c>
      <c r="D21" s="71" t="inlineStr">
        <is>
          <t>The share of the deflectable volume actually handled in Q1, Q2, Q3, Q4.</t>
        </is>
      </c>
      <c r="E21" s="71" t="inlineStr">
        <is>
          <t>Never 100 % in Q1 — Octopus Energy went from a handful of emails to 34 %, then 45 %.</t>
        </is>
      </c>
    </row>
    <row r="22" ht="30" customHeight="1" s="68">
      <c r="B22" s="74" t="inlineStr">
        <is>
          <t>8 · AI cost</t>
        </is>
      </c>
      <c r="C22" s="75" t="inlineStr">
        <is>
          <t>Inputs, rows 45–46</t>
        </is>
      </c>
      <c r="D22" s="75" t="inlineStr">
        <is>
          <t>The AI cost per conversation (tokens × price) and the retry overhead.</t>
        </is>
      </c>
      <c r="E22" s="75" t="inlineStr">
        <is>
          <t>€0.02–0.20 per conversation; recheck token prices the day you fill it in.</t>
        </is>
      </c>
    </row>
    <row r="23" ht="33.75" customHeight="1" s="68">
      <c r="B23" s="73" t="inlineStr">
        <is>
          <t>9 · Fixed costs</t>
        </is>
      </c>
      <c r="C23" s="71" t="inlineStr">
        <is>
          <t>Inputs, rows 49–56</t>
        </is>
      </c>
      <c r="D23" s="71" t="inlineStr">
        <is>
          <t>Integration, evaluation, supervision (people in the loop, in FTE), monitoring and on-call, re-evaluation when the model changes.</t>
        </is>
      </c>
      <c r="E23" s="71" t="inlineStr">
        <is>
          <t>The human in the loop is a cost line, not free.</t>
        </is>
      </c>
    </row>
    <row r="24" ht="45.75" customHeight="1" s="68">
      <c r="B24" s="74" t="inlineStr">
        <is>
          <t>10 · The two comparisons</t>
        </is>
      </c>
      <c r="C24" s="75" t="inlineStr">
        <is>
          <t>Inputs, rows 59–60</t>
        </is>
      </c>
      <c r="D24" s="75" t="inlineStr">
        <is>
          <t>How much the current process improves each year on its own (do-nothing), and the yearly value of the next-best project the same team could do (name it in the note).</t>
        </is>
      </c>
      <c r="E24" s="75" t="inlineStr">
        <is>
          <t>The hurdle is another project, not zero.</t>
        </is>
      </c>
    </row>
    <row r="25" ht="30" customHeight="1" s="68">
      <c r="B25" s="73" t="inlineStr">
        <is>
          <t>11 · Probabilities</t>
        </is>
      </c>
      <c r="C25" s="71" t="inlineStr">
        <is>
          <t>Inputs, row 63</t>
        </is>
      </c>
      <c r="D25" s="71" t="inlineStr">
        <is>
          <t>How likely you find the pessimistic, base and optimistic scenarios.</t>
        </is>
      </c>
      <c r="E25" s="71" t="inlineStr">
        <is>
          <t>Must sum to 1 (row 64 checks it).</t>
        </is>
      </c>
    </row>
    <row r="26" ht="45.75" customHeight="1" s="68">
      <c r="B26" s="74" t="inlineStr">
        <is>
          <t>12 · Read the result</t>
        </is>
      </c>
      <c r="C26" s="75" t="inlineStr">
        <is>
          <t>Decision tab</t>
        </is>
      </c>
      <c r="D26" s="75" t="inlineStr">
        <is>
          <t>Net value per scenario, expected value, comparisons, the decision cell, and the sensitivity table: the deflection rate at which the decision flips.</t>
        </is>
      </c>
      <c r="E26" s="75" t="inlineStr">
        <is>
          <t>Do not type here. The flip point goes in the memo — your Session 4 prototype will measure it.</t>
        </is>
      </c>
    </row>
    <row r="27" ht="45.75" customHeight="1" s="68">
      <c r="B27" s="73" t="inlineStr">
        <is>
          <t>13 · Build, buy or orchestrate</t>
        </is>
      </c>
      <c r="C27" s="71" t="inlineStr">
        <is>
          <t>Build or buy tab</t>
        </is>
      </c>
      <c r="D27" s="71" t="inlineStr">
        <is>
          <t>Weights (sum 100 %) and a score from 1 to 5 for each option on the ten questions; the vendor's price per resolution for the break-even.</t>
        </is>
      </c>
      <c r="E27" s="71" t="inlineStr">
        <is>
          <t>The score informs the decision; the memo makes it.</t>
        </is>
      </c>
    </row>
    <row r="28" ht="30" customHeight="1" s="68">
      <c r="B28" s="74" t="inlineStr">
        <is>
          <t>14 · Write the memo</t>
        </is>
      </c>
      <c r="C28" s="75" t="inlineStr">
        <is>
          <t>02_investment_memo.md</t>
        </is>
      </c>
      <c r="D28" s="75" t="inlineStr">
        <is>
          <t>Recommendation on line one, the four CFO questions, one line on build / buy / orchestrate.</t>
        </is>
      </c>
      <c r="E28" s="75" t="inlineStr">
        <is>
          <t>Same base case as this sheet.</t>
        </is>
      </c>
    </row>
    <row r="30" ht="15" customHeight="1" s="68">
      <c r="B30" s="70" t="inlineStr">
        <is>
          <t>STARTING NUMBERS FROM THE PROJECT DOCUMENT</t>
        </is>
      </c>
    </row>
    <row r="31" ht="15" customHeight="1" s="68">
      <c r="B31" s="72" t="inlineStr">
        <is>
          <t>Proposal</t>
        </is>
      </c>
      <c r="C31" s="72" t="inlineStr">
        <is>
          <t>Company numbers</t>
        </is>
      </c>
      <c r="D31" s="72" t="inlineStr">
        <is>
          <t>The pain</t>
        </is>
      </c>
      <c r="E31" s="72" t="inlineStr">
        <is>
          <t>Kind of value</t>
        </is>
      </c>
    </row>
    <row r="32" ht="60" customHeight="1" s="68">
      <c r="B32" s="73" t="inlineStr">
        <is>
          <t>P1 · HR &amp; payroll SaaS</t>
        </is>
      </c>
      <c r="C32" s="71" t="inlineStr">
        <is>
          <t>2,500 customer companies · 40,000 tickets/month · 60 support agents</t>
        </is>
      </c>
      <c r="D32" s="71" t="inlineStr">
        <is>
          <t>55 % of tickets are “how do I…” questions already answered in the documentation; peaks at month end</t>
        </is>
      </c>
      <c r="E32" s="71" t="inlineStr">
        <is>
          <t>Work avoided</t>
        </is>
      </c>
    </row>
    <row r="33" ht="60" customHeight="1" s="68">
      <c r="B33" s="74" t="inlineStr">
        <is>
          <t>P2 · B2B payments fintech</t>
        </is>
      </c>
      <c r="C33" s="75" t="inlineStr">
        <is>
          <t>800 merchants · 12,000 tickets/month</t>
        </is>
      </c>
      <c r="D33" s="75" t="inlineStr">
        <is>
          <t>Agents spend 40 % of handling time reading transaction history and past tickets</t>
        </is>
      </c>
      <c r="E33" s="75" t="inlineStr">
        <is>
          <t>Time saved (copilot)</t>
        </is>
      </c>
    </row>
    <row r="34" ht="60" customHeight="1" s="68">
      <c r="B34" s="73" t="inlineStr">
        <is>
          <t>P3 · DevOps / observability</t>
        </is>
      </c>
      <c r="C34" s="71" t="inlineStr">
        <is>
          <t>5,000 accounts · tickets ×10 during incidents (normal volume not given: estimate it)</t>
        </is>
      </c>
      <c r="D34" s="71" t="inlineStr">
        <is>
          <t>During an outage, 70 % of tickets say the same thing</t>
        </is>
      </c>
      <c r="E34" s="71" t="inlineStr">
        <is>
          <t>Incident load — tickets per incident × incidents a year</t>
        </is>
      </c>
    </row>
    <row r="35" ht="60" customHeight="1" s="68">
      <c r="B35" s="74" t="inlineStr">
        <is>
          <t>P4 · E-commerce logistics</t>
        </is>
      </c>
      <c r="C35" s="75" t="inlineStr">
        <is>
          <t>15,000 merchants · 25,000 tickets/month</t>
        </is>
      </c>
      <c r="D35" s="75" t="inlineStr">
        <is>
          <t>30 % of tickets are label refunds; refunds under €20 cost more to process than they are worth</t>
        </is>
      </c>
      <c r="E35" s="75" t="inlineStr">
        <is>
          <t>Work avoided; the cost of error is refund leakage</t>
        </is>
      </c>
    </row>
    <row r="36" ht="60" customHeight="1" s="68">
      <c r="B36" s="73" t="inlineStr">
        <is>
          <t>P5 · Ed-tech LMS</t>
        </is>
      </c>
      <c r="C36" s="71" t="inlineStr">
        <is>
          <t>14 countries · 6 languages · 20 agents (volume not given: estimate it)</t>
        </is>
      </c>
      <c r="D36" s="71" t="inlineStr">
        <is>
          <t>Tickets in Portuguese, Polish, Arabic wait 2–3× longer</t>
        </is>
      </c>
      <c r="E36" s="71" t="inlineStr">
        <is>
          <t>Work avoided — use the categories for languages</t>
        </is>
      </c>
    </row>
    <row r="37" ht="60" customHeight="1" s="68">
      <c r="B37" s="74" t="inlineStr">
        <is>
          <t>P6 · Project-management SaaS</t>
        </is>
      </c>
      <c r="C37" s="75" t="inlineStr">
        <is>
          <t>30,000 SMB accounts · 9,000 tickets/month · 8 % annual churn</t>
        </is>
      </c>
      <c r="D37" s="75" t="inlineStr">
        <is>
          <t>Churn signals visible in support weeks before cancellation</t>
        </is>
      </c>
      <c r="E37" s="75" t="inlineStr">
        <is>
          <t>Work avoided + revenue retained (Other value)</t>
        </is>
      </c>
    </row>
    <row r="38" ht="60" customHeight="1" s="68">
      <c r="B38" s="73" t="inlineStr">
        <is>
          <t>P7 · Cybersecurity SaaS</t>
        </is>
      </c>
      <c r="C38" s="71" t="inlineStr">
        <is>
          <t>400 enterprise accounts · 6,000 tickets/month · 25 engineers · SLA P1 = 1 h, P2 = 4 h</t>
        </is>
      </c>
      <c r="D38" s="71" t="inlineStr">
        <is>
          <t>Misprioritised tickets cause SLA breaches and penalties</t>
        </is>
      </c>
      <c r="E38" s="71" t="inlineStr">
        <is>
          <t>Time saved + penalties avoided (Other value)</t>
        </is>
      </c>
    </row>
    <row r="39" ht="60" customHeight="1" s="68">
      <c r="B39" s="74" t="inlineStr">
        <is>
          <t>P8 · Hospitality-tech</t>
        </is>
      </c>
      <c r="C39" s="75" t="inlineStr">
        <is>
          <t>3,000 hotels (volume not given: estimate it) · reviews.csv for real data</t>
        </is>
      </c>
      <c r="D39" s="75" t="inlineStr">
        <is>
          <t>20 % of tickets are analysis requests; answer today in 4 days</t>
        </is>
      </c>
      <c r="E39" s="75" t="inlineStr">
        <is>
          <t>Time saved — analysis requests answered faster</t>
        </is>
      </c>
    </row>
    <row r="40" ht="60" customHeight="1" s="68">
      <c r="B40" s="73" t="inlineStr">
        <is>
          <t>Own project</t>
        </is>
      </c>
      <c r="C40" s="71" t="inlineStr">
        <is>
          <t>The numbers of your 00_pitch.md</t>
        </is>
      </c>
      <c r="D40" s="71" t="inlineStr">
        <is>
          <t>Your pain, expressed as a cost</t>
        </is>
      </c>
      <c r="E40" s="71" t="inlineStr">
        <is>
          <t>Pick the kind of value below; invent plausible numbers and label them</t>
        </is>
      </c>
    </row>
    <row r="42" ht="15" customHeight="1" s="68">
      <c r="B42" s="70" t="inlineStr">
        <is>
          <t>NOT ONLY TICKETS — OTHER KINDS OF VALUE, WITH WORKED EXAMPLES</t>
        </is>
      </c>
    </row>
    <row r="43" ht="33.75" customHeight="1" s="68">
      <c r="B43" s="71" t="inlineStr">
        <is>
          <t>Every agent is sized the same way: volume × share in scope × success rate × value per success − AI cost − cost of errors − fixed costs. Only the unit and the value change. Pick the line that matches your agent (you can combine two). Numbers below are illustrative — replace them with yours.</t>
        </is>
      </c>
    </row>
    <row r="44" ht="15" customHeight="1" s="68">
      <c r="B44" s="72" t="inlineStr">
        <is>
          <t>Kind of value</t>
        </is>
      </c>
      <c r="C44" s="72" t="inlineStr">
        <is>
          <t>Typical for</t>
        </is>
      </c>
      <c r="D44" s="72" t="inlineStr">
        <is>
          <t>What goes where in the sheet</t>
        </is>
      </c>
      <c r="E44" s="72" t="inlineStr">
        <is>
          <t>Illustrative example</t>
        </is>
      </c>
    </row>
    <row r="45" ht="48" customHeight="1" s="68">
      <c r="B45" s="73" t="inlineStr">
        <is>
          <t>Work avoided (deflection)</t>
        </is>
      </c>
      <c r="C45" s="71" t="inlineStr">
        <is>
          <t>P1, P4, P5</t>
        </is>
      </c>
      <c r="D45" s="71" t="inlineStr">
        <is>
          <t>Volume = tickets · success rate = deflection · value per unit = human cost of one ticket.</t>
        </is>
      </c>
      <c r="E45" s="71" t="inlineStr">
        <is>
          <t>P1: 40,000 tickets × 55 % “how do I” × 68 % automatable × your deflection rate (say 50 %) × €10 ≈ €75k a month at full adoption.</t>
        </is>
      </c>
    </row>
    <row r="46" ht="48" customHeight="1" s="68">
      <c r="B46" s="74" t="inlineStr">
        <is>
          <t>Time saved (copilot)</t>
        </is>
      </c>
      <c r="C46" s="75" t="inlineStr">
        <is>
          <t>P2, P7 (triage), P8</t>
        </is>
      </c>
      <c r="D46" s="75" t="inlineStr">
        <is>
          <t>Volume = tickets or requests the agent helps with · success rate = share of handling time saved · value per unit = human cost of one.</t>
        </is>
      </c>
      <c r="E46" s="75" t="inlineStr">
        <is>
          <t>P2: 12,000 tickets × 100 % with the copilot × 20 % of time saved × €10 ≈ €24k a month.</t>
        </is>
      </c>
    </row>
    <row r="47" ht="48" customHeight="1" s="68">
      <c r="B47" s="73" t="inlineStr">
        <is>
          <t>Revenue retained</t>
        </is>
      </c>
      <c r="C47" s="71" t="inlineStr">
        <is>
          <t>P6</t>
        </is>
      </c>
      <c r="D47" s="71" t="inlineStr">
        <is>
          <t>Use an Other value row (67–68): accounts at risk that reach support × share saved × yearly revenue per account.</t>
        </is>
      </c>
      <c r="E47" s="71" t="inlineStr">
        <is>
          <t>P6: 30,000 accounts × 8 % churn = 2,400 lost a year; half open a ticket first; 10 % saved = 120 × €1,200 ≈ €144k a year.</t>
        </is>
      </c>
    </row>
    <row r="48" ht="48" customHeight="1" s="68">
      <c r="B48" s="74" t="inlineStr">
        <is>
          <t>Penalties avoided</t>
        </is>
      </c>
      <c r="C48" s="75" t="inlineStr">
        <is>
          <t>P7</t>
        </is>
      </c>
      <c r="D48" s="75" t="inlineStr">
        <is>
          <t>Use an Other value row: breaches a year × share avoided × penalty per breach (from the contracts).</t>
        </is>
      </c>
      <c r="E48" s="75" t="inlineStr">
        <is>
          <t>P7: 240 SLA breaches a year × 30 % avoided × €2,000 ≈ €144k a year.</t>
        </is>
      </c>
    </row>
    <row r="49" ht="48" customHeight="1" s="68">
      <c r="B49" s="73" t="inlineStr">
        <is>
          <t>Faster answers, incident load</t>
        </is>
      </c>
      <c r="C49" s="71" t="inlineStr">
        <is>
          <t>P3, P8</t>
        </is>
      </c>
      <c r="D49" s="71" t="inlineStr">
        <is>
          <t>Volume = requests or incident tickets (incidents a year × tickets per incident ÷ 12) · value = agent time per ticket; the speed gain goes in the memo.</t>
        </is>
      </c>
      <c r="E49" s="71" t="inlineStr">
        <is>
          <t>P3: 20 incidents a year × 1,500 tickets each ÷ 12 = 2,500 tickets a month.</t>
        </is>
      </c>
    </row>
    <row r="51" ht="15" customHeight="1" s="68">
      <c r="B51" s="76" t="inlineStr">
        <is>
          <t>Data &amp; AI Product: From Diagnosis to Delivery · Albert School MSA-DAT07-04 · Assignment 2 · BleuAI</t>
        </is>
      </c>
    </row>
  </sheetData>
  <mergeCells count="12">
    <mergeCell ref="B8:E8"/>
    <mergeCell ref="B4:E4"/>
    <mergeCell ref="B43:E43"/>
    <mergeCell ref="B13:E13"/>
    <mergeCell ref="B30:E30"/>
    <mergeCell ref="B7:E7"/>
    <mergeCell ref="B11:E11"/>
    <mergeCell ref="B5:E5"/>
    <mergeCell ref="B2:E2"/>
    <mergeCell ref="B51:E51"/>
    <mergeCell ref="B10:E10"/>
    <mergeCell ref="B42:E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7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6" customWidth="1" style="67" min="1" max="1"/>
    <col width="12" customWidth="1" style="67" min="2" max="2"/>
    <col width="13" customWidth="1" style="67" min="3" max="5"/>
    <col width="16" customWidth="1" style="67" min="6" max="6"/>
    <col width="70" customWidth="1" style="67" min="7" max="7"/>
    <col width="22" customWidth="1" style="67" min="8" max="8"/>
  </cols>
  <sheetData>
    <row r="1" ht="17.25" customHeight="1" s="68">
      <c r="A1" s="77" t="inlineStr">
        <is>
          <t>02_sizing — your agent · Inputs</t>
        </is>
      </c>
    </row>
    <row r="2" ht="30" customHeight="1" s="68">
      <c r="A2" s="78" t="inlineStr">
        <is>
          <t>Keelpay copilot (routing + drafting) - sizing built bottom-up from the frozen brief in the README. 'Low' = pessimistic, 'High' = optimistic. Yellow = input; green font = link to the Flow tab, where time saved, error and AI costs are derived. Time-saved kind of value: the 'success rate' is the share of handling time saved, applied to every ticket the copilot handles.</t>
        </is>
      </c>
    </row>
    <row r="4" ht="27.75" customHeight="1" s="68">
      <c r="A4" s="79" t="inlineStr">
        <is>
          <t>Parameter</t>
        </is>
      </c>
      <c r="B4" s="79" t="inlineStr">
        <is>
          <t>Unit</t>
        </is>
      </c>
      <c r="C4" s="79" t="inlineStr">
        <is>
          <t>Low (pessimistic)</t>
        </is>
      </c>
      <c r="D4" s="79" t="inlineStr">
        <is>
          <t>Base</t>
        </is>
      </c>
      <c r="E4" s="79" t="inlineStr">
        <is>
          <t>High (optimistic)</t>
        </is>
      </c>
      <c r="F4" s="79" t="inlineStr">
        <is>
          <t>Source type</t>
        </is>
      </c>
      <c r="G4" s="79" t="inlineStr">
        <is>
          <t>Note / where the number comes from</t>
        </is>
      </c>
      <c r="H4" s="80" t="n"/>
    </row>
    <row r="5" ht="15" customHeight="1" s="68">
      <c r="A5" s="81" t="inlineStr">
        <is>
          <t>VOLUME AND HUMAN COST</t>
        </is>
      </c>
    </row>
    <row r="6" ht="15" customHeight="1" s="68">
      <c r="A6" s="82" t="inlineStr">
        <is>
          <t>Volume per month (tickets, requests, conversations…)</t>
        </is>
      </c>
      <c r="B6" s="82" t="inlineStr">
        <is>
          <t>tickets</t>
        </is>
      </c>
      <c r="C6" s="83" t="n">
        <v>20000</v>
      </c>
      <c r="D6" s="83" t="n">
        <v>20000</v>
      </c>
      <c r="E6" s="83" t="n">
        <v>20000</v>
      </c>
      <c r="F6" s="84" t="inlineStr">
        <is>
          <t>given</t>
        </is>
      </c>
      <c r="G6" s="85" t="inlineStr">
        <is>
          <t>Scenario data (README): ~20,000 tickets a month. Kept equal in the three scenarios.</t>
        </is>
      </c>
      <c r="H6" s="86" t="n"/>
    </row>
    <row r="7" ht="15" customHeight="1" s="68">
      <c r="A7" s="82" t="inlineStr">
        <is>
          <t>Tier-1 support agents (headcount)</t>
        </is>
      </c>
      <c r="B7" s="82" t="inlineStr">
        <is>
          <t>people</t>
        </is>
      </c>
      <c r="C7" s="83" t="n">
        <v>25</v>
      </c>
      <c r="D7" s="83" t="n">
        <v>25</v>
      </c>
      <c r="E7" s="83" t="n">
        <v>25</v>
      </c>
      <c r="F7" s="84" t="inlineStr">
        <is>
          <t>guess</t>
        </is>
      </c>
      <c r="G7" s="85" t="inlineStr">
        <is>
          <t>20,000 tickets x ~10 min hands-on / ~130 productive hours per agent. Test: headcount and timesheets of a real support team.</t>
        </is>
      </c>
      <c r="H7" s="86" t="n"/>
    </row>
    <row r="8" ht="21.75" customHeight="1" s="68">
      <c r="A8" s="82" t="inlineStr">
        <is>
          <t>Cost of ONE agent to the company per year (all-in)</t>
        </is>
      </c>
      <c r="B8" s="82" t="inlineStr">
        <is>
          <t>€ / year</t>
        </is>
      </c>
      <c r="C8" s="83" t="n">
        <v>50000</v>
      </c>
      <c r="D8" s="83" t="n">
        <v>50000</v>
      </c>
      <c r="E8" s="83" t="n">
        <v>50000</v>
      </c>
      <c r="F8" s="84" t="inlineStr">
        <is>
          <t>guess</t>
        </is>
      </c>
      <c r="G8" s="85" t="inlineStr">
        <is>
          <t>All-in yearly cost of a customer adviser in France. Analogy to check: job postings (France Travail, Michael Page) plus employer charges. Source it on the day.</t>
        </is>
      </c>
      <c r="H8" s="86" t="n"/>
    </row>
    <row r="9" ht="21.75" customHeight="1" s="68">
      <c r="A9" s="87" t="inlineStr">
        <is>
          <t>Cost of ONE unit handled by a human (ticket, request…)</t>
        </is>
      </c>
      <c r="B9" s="82" t="inlineStr">
        <is>
          <t>€ / ticket</t>
        </is>
      </c>
      <c r="C9" s="88" t="n">
        <v>6</v>
      </c>
      <c r="D9" s="88" t="n">
        <v>7</v>
      </c>
      <c r="E9" s="88" t="n">
        <v>8</v>
      </c>
      <c r="F9" s="84" t="inlineStr">
        <is>
          <t>analogy</t>
        </is>
      </c>
      <c r="G9" s="85" t="inlineStr">
        <is>
          <t>Course order of magnitude: a human ticket costs EUR 5-15 all-in (S2 slides). Base 7 = agent time (row 10, ~5.2) x ~1.35 for the part of team leads, QA and tools that scales with agent time.</t>
        </is>
      </c>
      <c r="H9" s="89" t="n"/>
    </row>
    <row r="10" ht="15" customHeight="1" s="68">
      <c r="A10" s="82" t="inlineStr">
        <is>
          <t>Check — cost per ticket from headcount, base = agents × cost per agent ÷ tickets per year</t>
        </is>
      </c>
      <c r="B10" s="67" t="inlineStr">
        <is>
          <t>€ / ticket</t>
        </is>
      </c>
      <c r="C10" s="90" t="n"/>
      <c r="D10" s="90">
        <f>IFERROR(D7*D8/(D6*12),"")</f>
        <v/>
      </c>
      <c r="E10" s="90" t="n"/>
      <c r="G10" s="91" t="inlineStr">
        <is>
          <t>Formula, not an input: agents × cost per agent ÷ (volume × 12) = the agent time per unit. Row 9 should be equal or higher (Paylio: €5.6 of agent time, €10 all-in).</t>
        </is>
      </c>
    </row>
    <row r="11" ht="15" customHeight="1" s="68">
      <c r="A11" s="82" t="inlineStr">
        <is>
          <t>Check — tickets per agent per working day, base (21 working days a month)</t>
        </is>
      </c>
      <c r="B11" s="67" t="inlineStr">
        <is>
          <t>tickets</t>
        </is>
      </c>
      <c r="D11" s="92">
        <f>IFERROR(D6/D7/21,"")</f>
        <v/>
      </c>
      <c r="G11" s="91" t="inlineStr">
        <is>
          <t>Formula, not an input: volume ÷ agents ÷ 21 — a sanity check (Paylio ≈ 32 tickets a day).</t>
        </is>
      </c>
    </row>
    <row r="12" ht="15" customHeight="1" s="68">
      <c r="A12" s="81" t="inlineStr">
        <is>
          <t>TICKET CATEGORIES</t>
        </is>
      </c>
    </row>
    <row r="13" ht="15" customHeight="1" s="68">
      <c r="A13" s="87" t="inlineStr">
        <is>
          <t>Share of the volume by category (rename the three categories in A14:A16 — the other blocks follow)</t>
        </is>
      </c>
    </row>
    <row r="14" ht="15" customHeight="1" s="68">
      <c r="A14" s="93" t="inlineStr">
        <is>
          <t xml:space="preserve">   Payment status and payouts</t>
        </is>
      </c>
      <c r="B14" s="82" t="inlineStr">
        <is>
          <t>share</t>
        </is>
      </c>
      <c r="C14" s="94" t="n">
        <v>0.45</v>
      </c>
      <c r="D14" s="94" t="n">
        <v>0.45</v>
      </c>
      <c r="E14" s="94" t="n">
        <v>0.45</v>
      </c>
      <c r="F14" s="84" t="inlineStr">
        <is>
          <t>guess</t>
        </is>
      </c>
      <c r="G14" s="85" t="inlineStr">
        <is>
          <t>Share of tickets by type. Test: category tags in the helpdesk over three months.</t>
        </is>
      </c>
      <c r="H14" s="95" t="n"/>
    </row>
    <row r="15" ht="15" customHeight="1" s="68">
      <c r="A15" s="93" t="inlineStr">
        <is>
          <t xml:space="preserve">   Disputes and chargebacks</t>
        </is>
      </c>
      <c r="B15" s="82" t="inlineStr">
        <is>
          <t>share</t>
        </is>
      </c>
      <c r="C15" s="94" t="n">
        <v>0.2</v>
      </c>
      <c r="D15" s="94" t="n">
        <v>0.2</v>
      </c>
      <c r="E15" s="94" t="n">
        <v>0.2</v>
      </c>
      <c r="F15" s="84" t="inlineStr">
        <is>
          <t>guess</t>
        </is>
      </c>
      <c r="G15" s="85" t="inlineStr">
        <is>
          <t>Same test. Disputes are the costly category (deadlines).</t>
        </is>
      </c>
      <c r="H15" s="95" t="n"/>
    </row>
    <row r="16" ht="15" customHeight="1" s="68">
      <c r="A16" s="93" t="inlineStr">
        <is>
          <t xml:space="preserve">   Technical / API and compliance</t>
        </is>
      </c>
      <c r="B16" s="82" t="inlineStr">
        <is>
          <t>share</t>
        </is>
      </c>
      <c r="C16" s="94" t="n">
        <v>0.35</v>
      </c>
      <c r="D16" s="94" t="n">
        <v>0.35</v>
      </c>
      <c r="E16" s="94" t="n">
        <v>0.35</v>
      </c>
      <c r="F16" s="84" t="inlineStr">
        <is>
          <t>guess</t>
        </is>
      </c>
      <c r="G16" s="85" t="inlineStr">
        <is>
          <t>Same test.</t>
        </is>
      </c>
      <c r="H16" s="95" t="n"/>
    </row>
    <row r="17" ht="15" customHeight="1" s="68">
      <c r="A17" s="87" t="inlineStr">
        <is>
          <t>Automatable share (answerable from documentation)</t>
        </is>
      </c>
    </row>
    <row r="18" ht="15" customHeight="1" s="68">
      <c r="A18" s="82">
        <f>"   "&amp;TRIM($A$14)</f>
        <v/>
      </c>
      <c r="B18" s="82" t="inlineStr">
        <is>
          <t>share</t>
        </is>
      </c>
      <c r="C18" s="94" t="n">
        <v>1</v>
      </c>
      <c r="D18" s="94" t="n">
        <v>1</v>
      </c>
      <c r="E18" s="94" t="n">
        <v>1</v>
      </c>
      <c r="F18" s="84" t="inlineStr">
        <is>
          <t>decision</t>
        </is>
      </c>
      <c r="G18" s="85" t="inlineStr">
        <is>
          <t>The copilot reads and routes every ticket, so every ticket is in the base for time saved.</t>
        </is>
      </c>
      <c r="H18" s="95" t="n"/>
    </row>
    <row r="19" ht="15" customHeight="1" s="68">
      <c r="A19" s="82">
        <f>"   "&amp;TRIM($A$15)</f>
        <v/>
      </c>
      <c r="B19" s="82" t="inlineStr">
        <is>
          <t>share</t>
        </is>
      </c>
      <c r="C19" s="94" t="n">
        <v>1</v>
      </c>
      <c r="D19" s="94" t="n">
        <v>1</v>
      </c>
      <c r="E19" s="94" t="n">
        <v>1</v>
      </c>
      <c r="F19" s="84" t="inlineStr">
        <is>
          <t>decision</t>
        </is>
      </c>
      <c r="G19" s="85" t="inlineStr">
        <is>
          <t>The copilot reads and routes every ticket, so every ticket is in the base for time saved.</t>
        </is>
      </c>
      <c r="H19" s="95" t="n"/>
    </row>
    <row r="20" ht="15" customHeight="1" s="68">
      <c r="A20" s="82">
        <f>"   "&amp;TRIM($A$16)</f>
        <v/>
      </c>
      <c r="B20" s="82" t="inlineStr">
        <is>
          <t>share</t>
        </is>
      </c>
      <c r="C20" s="94" t="n">
        <v>1</v>
      </c>
      <c r="D20" s="94" t="n">
        <v>1</v>
      </c>
      <c r="E20" s="94" t="n">
        <v>1</v>
      </c>
      <c r="F20" s="84" t="inlineStr">
        <is>
          <t>decision</t>
        </is>
      </c>
      <c r="G20" s="85" t="inlineStr">
        <is>
          <t>The copilot reads and routes every ticket, so every ticket is in the base for time saved.</t>
        </is>
      </c>
      <c r="H20" s="95" t="n"/>
    </row>
    <row r="21" ht="15" customHeight="1" s="68">
      <c r="A21" s="87" t="inlineStr">
        <is>
          <t>Success rate on the automatable share (deflection — or share of time saved, see the guide)</t>
        </is>
      </c>
    </row>
    <row r="22" ht="15" customHeight="1" s="68">
      <c r="A22" s="87">
        <f>"   "&amp;TRIM($A$14)</f>
        <v/>
      </c>
      <c r="B22" s="82" t="inlineStr">
        <is>
          <t>share</t>
        </is>
      </c>
      <c r="C22" s="96">
        <f>Flow!C15</f>
        <v/>
      </c>
      <c r="D22" s="96">
        <f>Flow!D15</f>
        <v/>
      </c>
      <c r="E22" s="96">
        <f>Flow!E15</f>
        <v/>
      </c>
      <c r="F22" s="84" t="inlineStr">
        <is>
          <t>guess</t>
        </is>
      </c>
      <c r="G22" s="85" t="inlineStr">
        <is>
          <t>Share of handling time saved = routing slice + drafting slice, derived on the Flow tab. THE assumption that flips the decision: test on the S4 prototype and the S6 A/B.</t>
        </is>
      </c>
      <c r="H22" s="95" t="n"/>
    </row>
    <row r="23" ht="15" customHeight="1" s="68">
      <c r="A23" s="87">
        <f>"   "&amp;TRIM($A$15)</f>
        <v/>
      </c>
      <c r="B23" s="82" t="inlineStr">
        <is>
          <t>share</t>
        </is>
      </c>
      <c r="C23" s="96">
        <f>Flow!C15</f>
        <v/>
      </c>
      <c r="D23" s="96">
        <f>Flow!D15</f>
        <v/>
      </c>
      <c r="E23" s="96">
        <f>Flow!E15</f>
        <v/>
      </c>
      <c r="F23" s="84" t="inlineStr">
        <is>
          <t>guess</t>
        </is>
      </c>
      <c r="G23" s="85" t="inlineStr">
        <is>
          <t>Share of handling time saved = routing slice + drafting slice, derived on the Flow tab. THE assumption that flips the decision: test on the S4 prototype and the S6 A/B.</t>
        </is>
      </c>
      <c r="H23" s="95" t="n"/>
    </row>
    <row r="24" ht="15" customHeight="1" s="68">
      <c r="A24" s="87">
        <f>"   "&amp;TRIM($A$16)</f>
        <v/>
      </c>
      <c r="B24" s="82" t="inlineStr">
        <is>
          <t>share</t>
        </is>
      </c>
      <c r="C24" s="96">
        <f>Flow!C15</f>
        <v/>
      </c>
      <c r="D24" s="96">
        <f>Flow!D15</f>
        <v/>
      </c>
      <c r="E24" s="96">
        <f>Flow!E15</f>
        <v/>
      </c>
      <c r="F24" s="84" t="inlineStr">
        <is>
          <t>guess</t>
        </is>
      </c>
      <c r="G24" s="85" t="inlineStr">
        <is>
          <t>Share of handling time saved = routing slice + drafting slice, derived on the Flow tab. THE assumption that flips the decision: test on the S4 prototype and the S6 A/B.</t>
        </is>
      </c>
      <c r="H24" s="95" t="n"/>
    </row>
    <row r="25" ht="15" customHeight="1" s="68">
      <c r="A25" s="87" t="inlineStr">
        <is>
          <t>Error rate — share of AI answers that are wrong</t>
        </is>
      </c>
    </row>
    <row r="26" ht="15" customHeight="1" s="68">
      <c r="A26" s="82">
        <f>"   "&amp;TRIM($A$14)</f>
        <v/>
      </c>
      <c r="B26" s="82" t="inlineStr">
        <is>
          <t>share</t>
        </is>
      </c>
      <c r="C26" s="97">
        <f>Flow!C19/Flow!C15</f>
        <v/>
      </c>
      <c r="D26" s="97">
        <f>Flow!D19/Flow!D15</f>
        <v/>
      </c>
      <c r="E26" s="97">
        <f>Flow!E19/Flow!E15</f>
        <v/>
      </c>
      <c r="F26" s="84" t="inlineStr">
        <is>
          <t>guess</t>
        </is>
      </c>
      <c r="G26" s="85" t="inlineStr">
        <is>
          <t>Uncaught serious errors per ticket handled (Flow tab) divided by the share of time saved, because the template applies error cost to time-saved-equivalent tickets.</t>
        </is>
      </c>
      <c r="H26" s="95" t="n"/>
    </row>
    <row r="27" ht="15" customHeight="1" s="68">
      <c r="A27" s="82">
        <f>"   "&amp;TRIM($A$15)</f>
        <v/>
      </c>
      <c r="B27" s="82" t="inlineStr">
        <is>
          <t>share</t>
        </is>
      </c>
      <c r="C27" s="97">
        <f>Flow!C20/Flow!C15</f>
        <v/>
      </c>
      <c r="D27" s="97">
        <f>Flow!D20/Flow!D15</f>
        <v/>
      </c>
      <c r="E27" s="97">
        <f>Flow!E20/Flow!E15</f>
        <v/>
      </c>
      <c r="F27" s="84" t="inlineStr">
        <is>
          <t>guess</t>
        </is>
      </c>
      <c r="G27" s="85" t="inlineStr">
        <is>
          <t>Uncaught serious errors per ticket handled (Flow tab) divided by the share of time saved, because the template applies error cost to time-saved-equivalent tickets.</t>
        </is>
      </c>
      <c r="H27" s="95" t="n"/>
    </row>
    <row r="28" ht="15" customHeight="1" s="68">
      <c r="A28" s="82">
        <f>"   "&amp;TRIM($A$16)</f>
        <v/>
      </c>
      <c r="B28" s="82" t="inlineStr">
        <is>
          <t>share</t>
        </is>
      </c>
      <c r="C28" s="97">
        <f>Flow!C21/Flow!C15</f>
        <v/>
      </c>
      <c r="D28" s="97">
        <f>Flow!D21/Flow!D15</f>
        <v/>
      </c>
      <c r="E28" s="97">
        <f>Flow!E21/Flow!E15</f>
        <v/>
      </c>
      <c r="F28" s="84" t="inlineStr">
        <is>
          <t>guess</t>
        </is>
      </c>
      <c r="G28" s="85" t="inlineStr">
        <is>
          <t>Uncaught serious errors per ticket handled (Flow tab) divided by the share of time saved, because the template applies error cost to time-saved-equivalent tickets.</t>
        </is>
      </c>
      <c r="H28" s="95" t="n"/>
    </row>
    <row r="29" ht="15" customHeight="1" s="68">
      <c r="A29" s="87" t="inlineStr">
        <is>
          <t>Cost of one wrong answer</t>
        </is>
      </c>
    </row>
    <row r="30" ht="21.75" customHeight="1" s="68">
      <c r="A30" s="87">
        <f>"   "&amp;TRIM($A$14)</f>
        <v/>
      </c>
      <c r="B30" s="82" t="inlineStr">
        <is>
          <t>€ / error</t>
        </is>
      </c>
      <c r="C30" s="98" t="n">
        <v>200</v>
      </c>
      <c r="D30" s="98" t="n">
        <v>150</v>
      </c>
      <c r="E30" s="98" t="n">
        <v>120</v>
      </c>
      <c r="F30" s="84" t="inlineStr">
        <is>
          <t>guess</t>
        </is>
      </c>
      <c r="G30" s="85" t="inlineStr">
        <is>
          <t>Wrong payment reply or ticket stuck in the wrong desk: extra contacts, goodwill credit, churn tail. Pessimistic is higher.</t>
        </is>
      </c>
      <c r="H30" s="99" t="n"/>
    </row>
    <row r="31" ht="21.75" customHeight="1" s="68">
      <c r="A31" s="87">
        <f>"   "&amp;TRIM($A$15)</f>
        <v/>
      </c>
      <c r="B31" s="82" t="inlineStr">
        <is>
          <t>€ / error</t>
        </is>
      </c>
      <c r="C31" s="98" t="n">
        <v>600</v>
      </c>
      <c r="D31" s="98" t="n">
        <v>400</v>
      </c>
      <c r="E31" s="98" t="n">
        <v>300</v>
      </c>
      <c r="F31" s="84" t="inlineStr">
        <is>
          <t>guess</t>
        </is>
      </c>
      <c r="G31" s="85" t="inlineStr">
        <is>
          <t>Missed chargeback deadline or wrong amount told: chargeback fees (analogy: Mastercard 2025, $128 per chargeback) plus lost dispute plus complaint risk.</t>
        </is>
      </c>
      <c r="H31" s="99" t="n"/>
    </row>
    <row r="32" ht="21.75" customHeight="1" s="68">
      <c r="A32" s="87">
        <f>"   "&amp;TRIM($A$16)</f>
        <v/>
      </c>
      <c r="B32" s="82" t="inlineStr">
        <is>
          <t>€ / error</t>
        </is>
      </c>
      <c r="C32" s="98" t="n">
        <v>450</v>
      </c>
      <c r="D32" s="98" t="n">
        <v>300</v>
      </c>
      <c r="E32" s="98" t="n">
        <v>250</v>
      </c>
      <c r="F32" s="84" t="inlineStr">
        <is>
          <t>guess</t>
        </is>
      </c>
      <c r="G32" s="85" t="inlineStr">
        <is>
          <t>Missed compliance hold or API incident handled late: regulatory exposure, merchant churn. Legal/reputational line (see governance).</t>
        </is>
      </c>
      <c r="H32" s="99" t="n"/>
    </row>
    <row r="33" ht="15" customHeight="1" s="68">
      <c r="A33" s="87" t="inlineStr">
        <is>
          <t>Include category in scope? (1 = yes, 0 = no)</t>
        </is>
      </c>
    </row>
    <row r="34" ht="15" customHeight="1" s="68">
      <c r="A34" s="82">
        <f>"   "&amp;TRIM($A$14)</f>
        <v/>
      </c>
      <c r="B34" s="82" t="inlineStr">
        <is>
          <t>1/0</t>
        </is>
      </c>
      <c r="C34" s="83" t="n">
        <v>1</v>
      </c>
      <c r="D34" s="83" t="n">
        <v>1</v>
      </c>
      <c r="E34" s="83" t="n">
        <v>1</v>
      </c>
      <c r="F34" s="84" t="inlineStr">
        <is>
          <t>decision</t>
        </is>
      </c>
      <c r="G34" s="85" t="inlineStr">
        <is>
          <t>Scope decision. Try 0 on disputes and watch the decision.</t>
        </is>
      </c>
      <c r="H34" s="86" t="n"/>
    </row>
    <row r="35" ht="15" customHeight="1" s="68">
      <c r="A35" s="82">
        <f>"   "&amp;TRIM($A$15)</f>
        <v/>
      </c>
      <c r="B35" s="82" t="inlineStr">
        <is>
          <t>1/0</t>
        </is>
      </c>
      <c r="C35" s="83" t="n">
        <v>1</v>
      </c>
      <c r="D35" s="83" t="n">
        <v>1</v>
      </c>
      <c r="E35" s="83" t="n">
        <v>1</v>
      </c>
      <c r="F35" s="84" t="inlineStr">
        <is>
          <t>decision</t>
        </is>
      </c>
      <c r="G35" s="85" t="inlineStr">
        <is>
          <t>Scope decision. Try 0 on disputes and watch the decision.</t>
        </is>
      </c>
      <c r="H35" s="86" t="n"/>
    </row>
    <row r="36" ht="15" customHeight="1" s="68">
      <c r="A36" s="82">
        <f>"   "&amp;TRIM($A$16)</f>
        <v/>
      </c>
      <c r="B36" s="82" t="inlineStr">
        <is>
          <t>1/0</t>
        </is>
      </c>
      <c r="C36" s="83" t="n">
        <v>1</v>
      </c>
      <c r="D36" s="83" t="n">
        <v>1</v>
      </c>
      <c r="E36" s="83" t="n">
        <v>1</v>
      </c>
      <c r="F36" s="84" t="inlineStr">
        <is>
          <t>decision</t>
        </is>
      </c>
      <c r="G36" s="85" t="inlineStr">
        <is>
          <t>Scope decision. Try 0 on disputes and watch the decision.</t>
        </is>
      </c>
      <c r="H36" s="86" t="n"/>
    </row>
    <row r="37"/>
    <row r="38" ht="15" customHeight="1" s="68">
      <c r="A38" s="81" t="inlineStr">
        <is>
          <t>ADOPTION RAMP — share of deflectable volume actually handled, by quarter</t>
        </is>
      </c>
    </row>
    <row r="39" ht="21.75" customHeight="1" s="68">
      <c r="A39" s="82" t="inlineStr">
        <is>
          <t xml:space="preserve">   Q1</t>
        </is>
      </c>
      <c r="B39" s="82" t="inlineStr">
        <is>
          <t>share</t>
        </is>
      </c>
      <c r="C39" s="94" t="n">
        <v>0.05</v>
      </c>
      <c r="D39" s="94" t="n">
        <v>0.15</v>
      </c>
      <c r="E39" s="94" t="n">
        <v>0.25</v>
      </c>
      <c r="F39" s="84" t="inlineStr">
        <is>
          <t>guess</t>
        </is>
      </c>
      <c r="G39" s="85" t="inlineStr">
        <is>
          <t>Pessimistic = the guardrail fails and the rollout stops at about 10% (S4/Q1 gate), not a world with heavy errors and full ramp. Staged rollout: routing starts on low-critical tickets, each step conditional on a guardrail holding (template: staged like Octopus Energy).</t>
        </is>
      </c>
      <c r="H39" s="95" t="n"/>
    </row>
    <row r="40" ht="21.75" customHeight="1" s="68">
      <c r="A40" s="82" t="inlineStr">
        <is>
          <t xml:space="preserve">   Q2</t>
        </is>
      </c>
      <c r="B40" s="82" t="inlineStr">
        <is>
          <t>share</t>
        </is>
      </c>
      <c r="C40" s="94" t="n">
        <v>0.1</v>
      </c>
      <c r="D40" s="94" t="n">
        <v>0.35</v>
      </c>
      <c r="E40" s="94" t="n">
        <v>0.5</v>
      </c>
      <c r="F40" s="84" t="inlineStr">
        <is>
          <t>guess</t>
        </is>
      </c>
      <c r="G40" s="85" t="inlineStr">
        <is>
          <t>staged like Octopus Energy (a handful → 34 % → 45 %); each step conditional on a guardrail holding</t>
        </is>
      </c>
      <c r="H40" s="95" t="n"/>
    </row>
    <row r="41" ht="21.75" customHeight="1" s="68">
      <c r="A41" s="82" t="inlineStr">
        <is>
          <t xml:space="preserve">   Q3</t>
        </is>
      </c>
      <c r="B41" s="82" t="inlineStr">
        <is>
          <t>share</t>
        </is>
      </c>
      <c r="C41" s="94" t="n">
        <v>0.1</v>
      </c>
      <c r="D41" s="94" t="n">
        <v>0.55</v>
      </c>
      <c r="E41" s="94" t="n">
        <v>0.7</v>
      </c>
      <c r="F41" s="84" t="inlineStr">
        <is>
          <t>guess</t>
        </is>
      </c>
      <c r="G41" s="85" t="inlineStr">
        <is>
          <t>staged like Octopus Energy (a handful → 34 % → 45 %); each step conditional on a guardrail holding</t>
        </is>
      </c>
      <c r="H41" s="95" t="n"/>
    </row>
    <row r="42" ht="21.75" customHeight="1" s="68">
      <c r="A42" s="82" t="inlineStr">
        <is>
          <t xml:space="preserve">   Q4</t>
        </is>
      </c>
      <c r="B42" s="82" t="inlineStr">
        <is>
          <t>share</t>
        </is>
      </c>
      <c r="C42" s="94" t="n">
        <v>0.1</v>
      </c>
      <c r="D42" s="94" t="n">
        <v>0.7</v>
      </c>
      <c r="E42" s="94" t="n">
        <v>0.85</v>
      </c>
      <c r="F42" s="84" t="inlineStr">
        <is>
          <t>guess</t>
        </is>
      </c>
      <c r="G42" s="85" t="inlineStr">
        <is>
          <t>staged like Octopus Energy (a handful → 34 % → 45 %); each step conditional on a guardrail holding</t>
        </is>
      </c>
      <c r="H42" s="95" t="n"/>
    </row>
    <row r="43"/>
    <row r="44" ht="15" customHeight="1" s="68">
      <c r="A44" s="81" t="inlineStr">
        <is>
          <t>AI HANDLING COST</t>
        </is>
      </c>
    </row>
    <row r="45" ht="21.75" customHeight="1" s="68">
      <c r="A45" s="82" t="inlineStr">
        <is>
          <t>AI cost per time-saved-equivalent ticket (tokens, inference)</t>
        </is>
      </c>
      <c r="B45" s="82" t="inlineStr">
        <is>
          <t>€ / conv.</t>
        </is>
      </c>
      <c r="C45" s="100">
        <f>Flow!C24/Flow!C15</f>
        <v/>
      </c>
      <c r="D45" s="100">
        <f>Flow!D24/Flow!D15</f>
        <v/>
      </c>
      <c r="E45" s="100">
        <f>Flow!E24/Flow!E15</f>
        <v/>
      </c>
      <c r="F45" s="84" t="inlineStr">
        <is>
          <t>guess</t>
        </is>
      </c>
      <c r="G45" s="85" t="inlineStr">
        <is>
          <t>AI cost per ticket handled (Flow tab, routing call + draft with retrieval) divided by the share of time saved. Course order of magnitude: EUR 0.02-0.20 per conversation. Recheck token prices the day you fill it in.</t>
        </is>
      </c>
      <c r="H45" s="89" t="n"/>
    </row>
    <row r="46" ht="15" customHeight="1" s="68">
      <c r="A46" s="82" t="inlineStr">
        <is>
          <t>Retry / escalation overhead</t>
        </is>
      </c>
      <c r="B46" s="82" t="inlineStr">
        <is>
          <t>×</t>
        </is>
      </c>
      <c r="C46" s="101" t="n">
        <v>1.5</v>
      </c>
      <c r="D46" s="101" t="n">
        <v>1.3</v>
      </c>
      <c r="E46" s="101" t="n">
        <v>1.2</v>
      </c>
      <c r="F46" s="84" t="inlineStr">
        <is>
          <t>guess</t>
        </is>
      </c>
      <c r="G46" s="85" t="inlineStr">
        <is>
          <t>Retries and second drafts after a reroute still cost tokens.</t>
        </is>
      </c>
      <c r="H46" s="102" t="n"/>
    </row>
    <row r="47"/>
    <row r="48" ht="15" customHeight="1" s="68">
      <c r="A48" s="81" t="inlineStr">
        <is>
          <t>FIXED AND SEMI-FIXED COSTS</t>
        </is>
      </c>
    </row>
    <row r="49" ht="15" customHeight="1" s="68">
      <c r="A49" s="82" t="inlineStr">
        <is>
          <t>Integration (CRM, knowledge base, auth, logging) — one-off</t>
        </is>
      </c>
      <c r="B49" s="82" t="inlineStr">
        <is>
          <t>€</t>
        </is>
      </c>
      <c r="C49" s="98" t="n">
        <v>110000</v>
      </c>
      <c r="D49" s="98" t="n">
        <v>80000</v>
      </c>
      <c r="E49" s="98" t="n">
        <v>60000</v>
      </c>
      <c r="F49" s="84" t="inlineStr">
        <is>
          <t>guess</t>
        </is>
      </c>
      <c r="G49" s="85" t="inlineStr">
        <is>
          <t>Helpdesk and ledger integration, retrieval over desk policies, routing table, logging, review screen. Internal estimate; get a quote.</t>
        </is>
      </c>
      <c r="H49" s="99" t="n"/>
    </row>
    <row r="50" ht="15" customHeight="1" s="68">
      <c r="A50" s="82" t="inlineStr">
        <is>
          <t>Amortisation period</t>
        </is>
      </c>
      <c r="B50" s="82" t="inlineStr">
        <is>
          <t>years</t>
        </is>
      </c>
      <c r="C50" s="83" t="n">
        <v>3</v>
      </c>
      <c r="D50" s="83" t="n">
        <v>3</v>
      </c>
      <c r="E50" s="83" t="n">
        <v>3</v>
      </c>
      <c r="F50" s="84" t="inlineStr">
        <is>
          <t>decision</t>
        </is>
      </c>
      <c r="G50" s="85" t="n"/>
      <c r="H50" s="86" t="n"/>
    </row>
    <row r="51" ht="15" customHeight="1" s="68">
      <c r="A51" s="82" t="inlineStr">
        <is>
          <t>Evaluation — eval-set upkeep and human graders</t>
        </is>
      </c>
      <c r="B51" s="82" t="inlineStr">
        <is>
          <t>€ / year</t>
        </is>
      </c>
      <c r="C51" s="98" t="n">
        <v>25000</v>
      </c>
      <c r="D51" s="98" t="n">
        <v>15000</v>
      </c>
      <c r="E51" s="98" t="n">
        <v>12000</v>
      </c>
      <c r="F51" s="84" t="inlineStr">
        <is>
          <t>guess</t>
        </is>
      </c>
      <c r="G51" s="85" t="inlineStr">
        <is>
          <t>Gold set upkeep, labelling by a second person, per-step evaluation.</t>
        </is>
      </c>
      <c r="H51" s="99" t="n"/>
    </row>
    <row r="52" ht="15" customHeight="1" s="68">
      <c r="A52" s="82" t="inlineStr">
        <is>
          <t>Quality owner - sampling audits, thresholds, upkeep</t>
        </is>
      </c>
      <c r="B52" s="82" t="inlineStr">
        <is>
          <t>FTE</t>
        </is>
      </c>
      <c r="C52" s="103" t="n">
        <v>0.75</v>
      </c>
      <c r="D52" s="103" t="n">
        <v>0.5</v>
      </c>
      <c r="E52" s="103" t="n">
        <v>0.35</v>
      </c>
      <c r="F52" s="84" t="inlineStr">
        <is>
          <t>guess</t>
        </is>
      </c>
      <c r="G52" s="85" t="inlineStr">
        <is>
          <t>Quality owner: sampling audits of auto-routed tickets, threshold tuning, prompt and table upkeep. Support agents' own triage and review time is already in handling time.</t>
        </is>
      </c>
      <c r="H52" s="86" t="n"/>
    </row>
    <row r="53" ht="15" customHeight="1" s="68">
      <c r="A53" s="82" t="inlineStr">
        <is>
          <t>Cost per supervision FTE</t>
        </is>
      </c>
      <c r="B53" s="82" t="inlineStr">
        <is>
          <t>€ / year</t>
        </is>
      </c>
      <c r="C53" s="98" t="n">
        <v>60000</v>
      </c>
      <c r="D53" s="98" t="n">
        <v>60000</v>
      </c>
      <c r="E53" s="98" t="n">
        <v>60000</v>
      </c>
      <c r="F53" s="84" t="inlineStr">
        <is>
          <t>guess</t>
        </is>
      </c>
      <c r="G53" s="85" t="inlineStr">
        <is>
          <t>Loaded cost of a qualified analyst; check against the agent cost in row 8.</t>
        </is>
      </c>
      <c r="H53" s="99" t="n"/>
    </row>
    <row r="54" ht="15" customHeight="1" s="68">
      <c r="A54" s="82" t="inlineStr">
        <is>
          <t>Monitoring and on-call</t>
        </is>
      </c>
      <c r="B54" s="82" t="inlineStr">
        <is>
          <t>€ / year</t>
        </is>
      </c>
      <c r="C54" s="98" t="n">
        <v>35000</v>
      </c>
      <c r="D54" s="98" t="n">
        <v>25000</v>
      </c>
      <c r="E54" s="98" t="n">
        <v>18000</v>
      </c>
      <c r="F54" s="84" t="inlineStr">
        <is>
          <t>guess</t>
        </is>
      </c>
      <c r="G54" s="85" t="inlineStr">
        <is>
          <t>Monitoring, on-call and cloud hosting of the model endpoint (see Read options tab).</t>
        </is>
      </c>
      <c r="H54" s="99" t="n"/>
    </row>
    <row r="55" ht="15" customHeight="1" s="68">
      <c r="A55" s="82" t="inlineStr">
        <is>
          <t>Model-version changes per year</t>
        </is>
      </c>
      <c r="B55" s="82" t="inlineStr">
        <is>
          <t>changes</t>
        </is>
      </c>
      <c r="C55" s="104" t="n">
        <v>4</v>
      </c>
      <c r="D55" s="104" t="n">
        <v>3</v>
      </c>
      <c r="E55" s="104" t="n">
        <v>2</v>
      </c>
      <c r="F55" s="84" t="inlineStr">
        <is>
          <t>guess</t>
        </is>
      </c>
      <c r="G55" s="85" t="inlineStr">
        <is>
          <t>Each model, prompt or table change replays the gold set (S7 trigger).</t>
        </is>
      </c>
      <c r="H55" s="86" t="n"/>
    </row>
    <row r="56" ht="15" customHeight="1" s="68">
      <c r="A56" s="82" t="inlineStr">
        <is>
          <t>Re-evaluation cost per model change</t>
        </is>
      </c>
      <c r="B56" s="82" t="inlineStr">
        <is>
          <t>€ / change</t>
        </is>
      </c>
      <c r="C56" s="98" t="n">
        <v>4000</v>
      </c>
      <c r="D56" s="98" t="n">
        <v>3000</v>
      </c>
      <c r="E56" s="98" t="n">
        <v>3000</v>
      </c>
      <c r="F56" s="84" t="inlineStr">
        <is>
          <t>guess</t>
        </is>
      </c>
      <c r="G56" s="85" t="n"/>
      <c r="H56" s="99" t="n"/>
    </row>
    <row r="57"/>
    <row r="58" ht="15" customHeight="1" s="68">
      <c r="A58" s="81" t="inlineStr">
        <is>
          <t>THE TWO COMPARISONS</t>
        </is>
      </c>
    </row>
    <row r="59" ht="15" customHeight="1" s="68">
      <c r="A59" s="87" t="inlineStr">
        <is>
          <t>Do-nothing: yearly efficiency gain of the current process</t>
        </is>
      </c>
      <c r="B59" s="82" t="inlineStr">
        <is>
          <t>share</t>
        </is>
      </c>
      <c r="C59" s="94" t="n">
        <v>0.02</v>
      </c>
      <c r="D59" s="94" t="n">
        <v>0.03</v>
      </c>
      <c r="E59" s="94" t="n">
        <v>0.05</v>
      </c>
      <c r="F59" s="84" t="inlineStr">
        <is>
          <t>analogy</t>
        </is>
      </c>
      <c r="G59" s="85" t="inlineStr">
        <is>
          <t>Agents get faster with experience and macros. The course class case uses 5% as the top of the range; base lower because our team has no stated tooling change.</t>
        </is>
      </c>
      <c r="H59" s="95" t="n"/>
    </row>
    <row r="60" ht="15" customHeight="1" s="68">
      <c r="A60" s="87" t="inlineStr">
        <is>
          <t>Next-best project — net annual value (the hurdle)</t>
        </is>
      </c>
      <c r="B60" s="82" t="inlineStr">
        <is>
          <t>€ / year</t>
        </is>
      </c>
      <c r="C60" s="105">
        <f>Flow!C35</f>
        <v/>
      </c>
      <c r="D60" s="105">
        <f>Flow!D35</f>
        <v/>
      </c>
      <c r="E60" s="105">
        <f>Flow!E35</f>
        <v/>
      </c>
      <c r="F60" s="84" t="inlineStr">
        <is>
          <t>guess</t>
        </is>
      </c>
      <c r="G60" s="85" t="inlineStr">
        <is>
          <t>Next-best project: rules-only ticket-to-transaction attach plus routing on structured fields, no AI (value derived on the Flow tab). Name: 'rules-only attach'.</t>
        </is>
      </c>
      <c r="H60" s="99" t="n"/>
    </row>
    <row r="61"/>
    <row r="62" ht="15" customHeight="1" s="68">
      <c r="A62" s="81" t="inlineStr">
        <is>
          <t>SCENARIO PROBABILITIES</t>
        </is>
      </c>
    </row>
    <row r="63" ht="15" customHeight="1" s="68">
      <c r="A63" s="87" t="inlineStr">
        <is>
          <t>Probability of each scenario</t>
        </is>
      </c>
      <c r="B63" s="82" t="inlineStr">
        <is>
          <t>p</t>
        </is>
      </c>
      <c r="C63" s="103" t="n">
        <v>0.3</v>
      </c>
      <c r="D63" s="103" t="n">
        <v>0.5</v>
      </c>
      <c r="E63" s="103" t="n">
        <v>0.2</v>
      </c>
      <c r="F63" s="84" t="inlineStr">
        <is>
          <t>judgement</t>
        </is>
      </c>
      <c r="G63" s="85" t="inlineStr">
        <is>
          <t>Our reading of the scenarios; must sum to 1.</t>
        </is>
      </c>
      <c r="H63" s="102" t="n"/>
    </row>
    <row r="64" ht="15" customHeight="1" s="68">
      <c r="A64" s="82" t="inlineStr">
        <is>
          <t>Check — probabilities sum to 1</t>
        </is>
      </c>
      <c r="D64" s="106">
        <f>SUM(C63:E63)</f>
        <v/>
      </c>
      <c r="G64" s="91" t="inlineStr">
        <is>
          <t>formula</t>
        </is>
      </c>
    </row>
    <row r="65"/>
    <row r="66" ht="15" customHeight="1" s="68">
      <c r="A66" s="81" t="inlineStr">
        <is>
          <t>OTHER VALUE — when your agent creates value beyond the work it removes (revenue retained, penalties avoided, sales…)</t>
        </is>
      </c>
    </row>
    <row r="67" ht="15" customHeight="1" s="68">
      <c r="A67" s="93" t="inlineStr">
        <is>
          <t>Other value 1 - hand-overs avoided (misrouted tickets)</t>
        </is>
      </c>
      <c r="B67" s="107" t="inlineStr">
        <is>
          <t>€ / yr</t>
        </is>
      </c>
      <c r="C67" s="108">
        <f>Flow!C30</f>
        <v/>
      </c>
      <c r="D67" s="108">
        <f>Flow!D30</f>
        <v/>
      </c>
      <c r="E67" s="108">
        <f>Flow!E30</f>
        <v/>
      </c>
      <c r="F67" s="93" t="inlineStr">
        <is>
          <t>guess</t>
        </is>
      </c>
      <c r="G67" s="109" t="inlineStr">
        <is>
          <t>Misroute rate falls from 1 in 7 (given) to 12% / 10% / 8% on tickets the copilot handles, x cost of a hand-over x adoption (Flow tab).</t>
        </is>
      </c>
    </row>
    <row r="68" ht="15" customHeight="1" s="68">
      <c r="A68" s="93" t="inlineStr">
        <is>
          <t>Other value 2 — rename (e.g. SLA penalties avoided)</t>
        </is>
      </c>
      <c r="B68" s="107" t="inlineStr">
        <is>
          <t>€ / yr</t>
        </is>
      </c>
      <c r="C68" s="110" t="n"/>
      <c r="D68" s="110" t="n"/>
      <c r="E68" s="110" t="n"/>
      <c r="F68" s="93" t="n"/>
      <c r="G68" s="109" t="inlineStr">
        <is>
          <t>Not used. Missed-deadline penalties avoided are not valued here: no contract data in the scenario (see memo).</t>
        </is>
      </c>
    </row>
    <row r="69"/>
    <row r="70" ht="15" customHeight="1" s="68">
      <c r="A70" s="81" t="inlineStr">
        <is>
          <t>Sources: README frozen brief (given figures). Course S2 slides (human ticket EUR 5-15; AI conversation EUR 0.02-0.20; do-nothing 5%). Brynjolfsson, Li &amp; Raymond, 'Generative AI at Work', QJE 140(2), 2025 (about -13% time per issue). Mastercard 2025 chargeback cost ($128). Job postings for customer advisers in France (France Travail, Michael Page, 2026) - to be re-sourced on the day. Token and GPU prices on the Read options tab are guesses to recheck.</t>
        </is>
      </c>
    </row>
    <row r="71"/>
    <row r="72"/>
    <row r="73"/>
    <row r="74"/>
    <row r="75"/>
    <row r="76"/>
    <row r="77"/>
    <row r="78"/>
  </sheetData>
  <mergeCells count="1">
    <mergeCell ref="A2:G2"/>
  </mergeCells>
  <dataValidations count="1">
    <dataValidation sqref="F6:F9 F14:F16 F18:F20 F22:F24 F26:F28 F30:F32 F34:F36 F39:F42 F45:F46 F49:F56 F59:F60 F63 F67:F68" showDropDown="0" showInputMessage="0" showErrorMessage="0" allowBlank="1" type="list" errorStyle="stop" operator="between">
      <formula1>"measured,analogy,guess,guess → S4 test,decision,judgement"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tabColor rgb="FF035CA0"/>
    <outlinePr summaryBelow="1" summaryRight="1"/>
    <pageSetUpPr/>
  </sheetPr>
  <dimension ref="A1:G35"/>
  <sheetViews>
    <sheetView workbookViewId="0">
      <selection activeCell="A1" sqref="A1"/>
    </sheetView>
  </sheetViews>
  <sheetFormatPr baseColWidth="8" defaultRowHeight="15"/>
  <cols>
    <col width="62" customWidth="1" style="68" min="1" max="1"/>
    <col width="12" customWidth="1" style="68" min="2" max="2"/>
    <col width="14" customWidth="1" style="68" min="3" max="3"/>
    <col width="14" customWidth="1" style="68" min="4" max="4"/>
    <col width="14" customWidth="1" style="68" min="5" max="5"/>
    <col width="14" customWidth="1" style="68" min="6" max="6"/>
    <col width="90" customWidth="1" style="68" min="7" max="7"/>
  </cols>
  <sheetData>
    <row r="1">
      <c r="A1" s="111" t="inlineStr">
        <is>
          <t>02_sizing - Flow: how the inputs are derived (routing + drafting)</t>
        </is>
      </c>
    </row>
    <row r="2">
      <c r="A2" s="112" t="inlineStr">
        <is>
          <t>Yellow = input (Low = pessimistic, High = optimistic). Black = formula. Rows 15, 24, 30 and 35 feed the Inputs tab.</t>
        </is>
      </c>
    </row>
    <row r="4">
      <c r="A4" s="113" t="inlineStr">
        <is>
          <t>Line</t>
        </is>
      </c>
      <c r="B4" s="113" t="inlineStr">
        <is>
          <t>Unit</t>
        </is>
      </c>
      <c r="C4" s="113" t="inlineStr">
        <is>
          <t>Low</t>
        </is>
      </c>
      <c r="D4" s="113" t="inlineStr">
        <is>
          <t>Base</t>
        </is>
      </c>
      <c r="E4" s="113" t="inlineStr">
        <is>
          <t>High</t>
        </is>
      </c>
      <c r="F4" s="113" t="inlineStr">
        <is>
          <t>Source type</t>
        </is>
      </c>
      <c r="G4" s="113" t="inlineStr">
        <is>
          <t>Note / test</t>
        </is>
      </c>
    </row>
    <row r="5">
      <c r="A5" s="114" t="inlineStr">
        <is>
          <t>SUB-CASE A - ROUTING (read the message, route the ticket)</t>
        </is>
      </c>
    </row>
    <row r="6">
      <c r="A6" t="inlineStr">
        <is>
          <t>Share of handling time: reading and routing</t>
        </is>
      </c>
      <c r="B6" t="inlineStr">
        <is>
          <t>share</t>
        </is>
      </c>
      <c r="C6" s="115" t="n">
        <v>0.15</v>
      </c>
      <c r="D6" s="115" t="n">
        <v>0.15</v>
      </c>
      <c r="E6" s="115" t="n">
        <v>0.15</v>
      </c>
      <c r="F6" s="116" t="inlineStr">
        <is>
          <t>given</t>
        </is>
      </c>
      <c r="G6" s="117" t="inlineStr">
        <is>
          <t>README frozen brief.</t>
        </is>
      </c>
    </row>
    <row r="7">
      <c r="A7" t="inlineStr">
        <is>
          <t>Share of tickets routed automatically (clear and not critical)</t>
        </is>
      </c>
      <c r="B7" t="inlineStr">
        <is>
          <t>share</t>
        </is>
      </c>
      <c r="C7" s="115" t="n">
        <v>0.35</v>
      </c>
      <c r="D7" s="115" t="n">
        <v>0.55</v>
      </c>
      <c r="E7" s="115" t="n">
        <v>0.7</v>
      </c>
      <c r="F7" s="116" t="inlineStr">
        <is>
          <t>guess</t>
        </is>
      </c>
      <c r="G7" s="117" t="inlineStr">
        <is>
          <t>The rest goes to human triage. Test: gold set at several thresholds (S4).</t>
        </is>
      </c>
    </row>
    <row r="8">
      <c r="A8" t="inlineStr">
        <is>
          <t>Cut in reading and routing time on those tickets</t>
        </is>
      </c>
      <c r="B8" t="inlineStr">
        <is>
          <t>share</t>
        </is>
      </c>
      <c r="C8" s="115" t="n">
        <v>0.5</v>
      </c>
      <c r="D8" s="115" t="n">
        <v>0.65</v>
      </c>
      <c r="E8" s="115" t="n">
        <v>0.8</v>
      </c>
      <c r="F8" s="116" t="inlineStr">
        <is>
          <t>guess</t>
        </is>
      </c>
      <c r="G8" s="117" t="inlineStr">
        <is>
          <t>The agent no longer reads for routing, but still sees the case. Test: time study with and without (S5).</t>
        </is>
      </c>
    </row>
    <row r="9">
      <c r="A9" t="inlineStr">
        <is>
          <t>Time saved by A (share of total handling time)</t>
        </is>
      </c>
      <c r="B9" t="inlineStr">
        <is>
          <t>share</t>
        </is>
      </c>
      <c r="C9" s="118">
        <f>C6*C7*C8</f>
        <v/>
      </c>
      <c r="D9" s="118">
        <f>D6*D7*D8</f>
        <v/>
      </c>
      <c r="E9" s="118">
        <f>E6*E7*E8</f>
        <v/>
      </c>
      <c r="F9" t="inlineStr">
        <is>
          <t>formula</t>
        </is>
      </c>
      <c r="G9" s="117" t="inlineStr">
        <is>
          <t>Slice x auto-lane share x cut. Triage tickets save nothing here (conservative).</t>
        </is>
      </c>
    </row>
    <row r="10">
      <c r="A10" s="114" t="inlineStr">
        <is>
          <t>SUB-CASE B - DRAFTING (find the payment and history, write the reply)</t>
        </is>
      </c>
    </row>
    <row r="11">
      <c r="A11" t="inlineStr">
        <is>
          <t>Share of handling time: finding the payment and history, and writing</t>
        </is>
      </c>
      <c r="B11" t="inlineStr">
        <is>
          <t>share</t>
        </is>
      </c>
      <c r="C11" s="115" t="n">
        <v>0.45</v>
      </c>
      <c r="D11" s="115" t="n">
        <v>0.45</v>
      </c>
      <c r="E11" s="115" t="n">
        <v>0.45</v>
      </c>
      <c r="F11" s="116" t="inlineStr">
        <is>
          <t>given</t>
        </is>
      </c>
      <c r="G11" s="117" t="inlineStr">
        <is>
          <t>README frozen brief.</t>
        </is>
      </c>
    </row>
    <row r="12">
      <c r="A12" t="inlineStr">
        <is>
          <t>Cut in that time with a cited draft</t>
        </is>
      </c>
      <c r="B12" t="inlineStr">
        <is>
          <t>share</t>
        </is>
      </c>
      <c r="C12" s="115" t="n">
        <v>0.12</v>
      </c>
      <c r="D12" s="115" t="n">
        <v>0.22</v>
      </c>
      <c r="E12" s="115" t="n">
        <v>0.3</v>
      </c>
      <c r="F12" s="116" t="inlineStr">
        <is>
          <t>analogy</t>
        </is>
      </c>
      <c r="G12" s="117" t="inlineStr">
        <is>
          <t>Published gain is about -13% time per issue overall (Brynjolfsson et al., QJE 2025) on all work; this slice is where a draft acts, so a larger cut here. Test: S5/S6.</t>
        </is>
      </c>
    </row>
    <row r="13">
      <c r="A13" t="inlineStr">
        <is>
          <t>Share of tickets correctly routed (the draft is usable)</t>
        </is>
      </c>
      <c r="B13" t="inlineStr">
        <is>
          <t>share</t>
        </is>
      </c>
      <c r="C13" s="115" t="n">
        <v>0.88</v>
      </c>
      <c r="D13" s="115" t="n">
        <v>0.92</v>
      </c>
      <c r="E13" s="115" t="n">
        <v>0.95</v>
      </c>
      <c r="F13" s="116" t="inlineStr">
        <is>
          <t>guess</t>
        </is>
      </c>
      <c r="G13" s="117" t="inlineStr">
        <is>
          <t>Today 6 in 7 (86%, given). The copilot improves it; a misrouted ticket gets a draft for the wrong desk and no saving.</t>
        </is>
      </c>
    </row>
    <row r="14">
      <c r="A14" t="inlineStr">
        <is>
          <t>Time saved by B (share of total handling time)</t>
        </is>
      </c>
      <c r="B14" t="inlineStr">
        <is>
          <t>share</t>
        </is>
      </c>
      <c r="C14" s="118">
        <f>C11*C12*C13</f>
        <v/>
      </c>
      <c r="D14" s="118">
        <f>D11*D12*D13</f>
        <v/>
      </c>
      <c r="E14" s="118">
        <f>E11*E12*E13</f>
        <v/>
      </c>
      <c r="F14" t="inlineStr">
        <is>
          <t>formula</t>
        </is>
      </c>
      <c r="G14" s="117" t="inlineStr">
        <is>
          <t>Slice x cut x correctly routed share.</t>
        </is>
      </c>
    </row>
    <row r="15">
      <c r="A15" t="inlineStr">
        <is>
          <t>TOTAL time saved at full adoption (share of handling time)</t>
        </is>
      </c>
      <c r="B15" t="inlineStr">
        <is>
          <t>share</t>
        </is>
      </c>
      <c r="C15" s="118">
        <f>C9+C14</f>
        <v/>
      </c>
      <c r="D15" s="118">
        <f>D9+D14</f>
        <v/>
      </c>
      <c r="E15" s="118">
        <f>E9+E14</f>
        <v/>
      </c>
      <c r="F15" t="inlineStr">
        <is>
          <t>formula</t>
        </is>
      </c>
      <c r="G15" s="117" t="inlineStr">
        <is>
          <t>Feeds Inputs rows 22-24. Cross-check: published about 13%; the course's own P2 example uses 20%.</t>
        </is>
      </c>
    </row>
    <row r="17">
      <c r="A17" s="114" t="inlineStr">
        <is>
          <t>ERRORS AND AI COST (per ticket the copilot handles)</t>
        </is>
      </c>
    </row>
    <row r="19">
      <c r="A19" t="inlineStr">
        <is>
          <t>Uncaught serious errors per ticket handled - payment status</t>
        </is>
      </c>
      <c r="B19" t="inlineStr">
        <is>
          <t>share</t>
        </is>
      </c>
      <c r="C19" s="119" t="n">
        <v>0.001</v>
      </c>
      <c r="D19" s="119" t="n">
        <v>0.0005</v>
      </c>
      <c r="E19" s="119" t="n">
        <v>0.0003</v>
      </c>
      <c r="F19" s="116" t="inlineStr">
        <is>
          <t>guess</t>
        </is>
      </c>
      <c r="G19" s="117" t="inlineStr">
        <is>
          <t>INCREMENTAL uncaught serious errors versus today (humans also misroute 1 in 7): auto-route error nobody catches, or wrong draft validated unread, with a real consequence. Test: seeded errors in S4 (hypothesis 4).</t>
        </is>
      </c>
    </row>
    <row r="20">
      <c r="A20" t="inlineStr">
        <is>
          <t>Uncaught serious errors per ticket handled - disputes</t>
        </is>
      </c>
      <c r="B20" t="inlineStr">
        <is>
          <t>share</t>
        </is>
      </c>
      <c r="C20" s="119" t="n">
        <v>0.0025</v>
      </c>
      <c r="D20" s="119" t="n">
        <v>0.0012</v>
      </c>
      <c r="E20" s="119" t="n">
        <v>0.0007</v>
      </c>
      <c r="F20" s="116" t="inlineStr">
        <is>
          <t>guess</t>
        </is>
      </c>
      <c r="G20" s="117" t="inlineStr">
        <is>
          <t>Higher: deadlines and amounts.</t>
        </is>
      </c>
    </row>
    <row r="21">
      <c r="A21" t="inlineStr">
        <is>
          <t>Uncaught serious errors per ticket handled - technical / compliance</t>
        </is>
      </c>
      <c r="B21" t="inlineStr">
        <is>
          <t>share</t>
        </is>
      </c>
      <c r="C21" s="119" t="n">
        <v>0.0015</v>
      </c>
      <c r="D21" s="119" t="n">
        <v>0.0008</v>
      </c>
      <c r="E21" s="119" t="n">
        <v>0.0005</v>
      </c>
      <c r="F21" s="116" t="inlineStr">
        <is>
          <t>guess</t>
        </is>
      </c>
      <c r="G21" s="117" t="n"/>
    </row>
    <row r="22">
      <c r="A22" t="inlineStr">
        <is>
          <t>AI cost per ticket handled - routing model call</t>
        </is>
      </c>
      <c r="B22" t="inlineStr">
        <is>
          <t>EUR</t>
        </is>
      </c>
      <c r="C22" s="120" t="n">
        <v>0.003</v>
      </c>
      <c r="D22" s="120" t="n">
        <v>0.002</v>
      </c>
      <c r="E22" s="120" t="n">
        <v>0.001</v>
      </c>
      <c r="F22" s="116" t="inlineStr">
        <is>
          <t>guess</t>
        </is>
      </c>
      <c r="G22" s="117" t="inlineStr">
        <is>
          <t>Self-hosted small model: marginal cost is near zero, the endpoint is a fixed cost (Read options tab).</t>
        </is>
      </c>
    </row>
    <row r="23">
      <c r="A23" t="inlineStr">
        <is>
          <t>AI cost per ticket handled - draft (retrieval, queries, generation)</t>
        </is>
      </c>
      <c r="B23" t="inlineStr">
        <is>
          <t>EUR</t>
        </is>
      </c>
      <c r="C23" s="120" t="n">
        <v>0.05</v>
      </c>
      <c r="D23" s="120" t="n">
        <v>0.03</v>
      </c>
      <c r="E23" s="120" t="n">
        <v>0.02</v>
      </c>
      <c r="F23" s="116" t="inlineStr">
        <is>
          <t>analogy</t>
        </is>
      </c>
      <c r="G23" s="117" t="inlineStr">
        <is>
          <t>About 5k tokens in and 500 out on a mid-size model; course order of magnitude EUR 0.02-0.20 per conversation. Recheck prices on the day.</t>
        </is>
      </c>
    </row>
    <row r="24">
      <c r="A24" t="inlineStr">
        <is>
          <t>AI cost per ticket handled - total</t>
        </is>
      </c>
      <c r="B24" t="inlineStr">
        <is>
          <t>EUR</t>
        </is>
      </c>
      <c r="C24" s="121">
        <f>C22+C23</f>
        <v/>
      </c>
      <c r="D24" s="121">
        <f>D22+D23</f>
        <v/>
      </c>
      <c r="E24" s="121">
        <f>E22+E23</f>
        <v/>
      </c>
      <c r="F24" t="inlineStr">
        <is>
          <t>formula</t>
        </is>
      </c>
      <c r="G24" s="117" t="inlineStr">
        <is>
          <t>Feeds Inputs row 45.</t>
        </is>
      </c>
    </row>
    <row r="25">
      <c r="A25" s="114" t="inlineStr">
        <is>
          <t>OTHER VALUE - hand-overs avoided</t>
        </is>
      </c>
    </row>
    <row r="26">
      <c r="A26" t="inlineStr">
        <is>
          <t>Misroute rate today</t>
        </is>
      </c>
      <c r="B26" t="inlineStr">
        <is>
          <t>share</t>
        </is>
      </c>
      <c r="C26" s="118">
        <f>1/7</f>
        <v/>
      </c>
      <c r="D26" s="118">
        <f>1/7</f>
        <v/>
      </c>
      <c r="E26" s="118">
        <f>1/7</f>
        <v/>
      </c>
      <c r="F26" s="116" t="inlineStr">
        <is>
          <t>given</t>
        </is>
      </c>
      <c r="G26" s="117" t="inlineStr">
        <is>
          <t>1 ticket in 7 first lands in the wrong desk (README).</t>
        </is>
      </c>
    </row>
    <row r="27">
      <c r="A27" t="inlineStr">
        <is>
          <t>Misroute rate on tickets the copilot handles</t>
        </is>
      </c>
      <c r="B27" t="inlineStr">
        <is>
          <t>share</t>
        </is>
      </c>
      <c r="C27" s="118">
        <f>1-C13</f>
        <v/>
      </c>
      <c r="D27" s="118">
        <f>1-D13</f>
        <v/>
      </c>
      <c r="E27" s="118">
        <f>1-E13</f>
        <v/>
      </c>
      <c r="F27" s="116" t="inlineStr">
        <is>
          <t>formula</t>
        </is>
      </c>
      <c r="G27" s="117" t="inlineStr">
        <is>
          <t>Equal to 1 minus the correctly routed share of row 13. Test: reroute counts in S4 (gold set) then S6.</t>
        </is>
      </c>
    </row>
    <row r="28">
      <c r="A28" t="inlineStr">
        <is>
          <t>Cost of one hand-over</t>
        </is>
      </c>
      <c r="B28" t="inlineStr">
        <is>
          <t>EUR</t>
        </is>
      </c>
      <c r="C28" s="122" t="n">
        <v>2</v>
      </c>
      <c r="D28" s="122" t="n">
        <v>3</v>
      </c>
      <c r="E28" s="122" t="n">
        <v>4</v>
      </c>
      <c r="F28" s="116" t="inlineStr">
        <is>
          <t>guess</t>
        </is>
      </c>
      <c r="G28" s="117" t="inlineStr">
        <is>
          <t>Queue delay and merchant irritation only: the second desk re-reading is hands-on time already inside the 15% slice. Test: time study.</t>
        </is>
      </c>
    </row>
    <row r="29">
      <c r="A29" t="inlineStr">
        <is>
          <t>Year-1 adoption factor (average of the four quarters)</t>
        </is>
      </c>
      <c r="B29" t="inlineStr">
        <is>
          <t>share</t>
        </is>
      </c>
      <c r="C29" s="118">
        <f>AVERAGE(Inputs!C39:C42)</f>
        <v/>
      </c>
      <c r="D29" s="118">
        <f>AVERAGE(Inputs!D39:D42)</f>
        <v/>
      </c>
      <c r="E29" s="118">
        <f>AVERAGE(Inputs!E39:E42)</f>
        <v/>
      </c>
      <c r="F29" t="inlineStr">
        <is>
          <t>formula</t>
        </is>
      </c>
      <c r="G29" s="117" t="n"/>
    </row>
    <row r="30">
      <c r="A30" t="inlineStr">
        <is>
          <t>Hand-overs avoided, year-1 value</t>
        </is>
      </c>
      <c r="B30" t="inlineStr">
        <is>
          <t>EUR / yr</t>
        </is>
      </c>
      <c r="C30" s="123">
        <f>Inputs!C6*12*(C26-C27)*C29*C28</f>
        <v/>
      </c>
      <c r="D30" s="123">
        <f>Inputs!D6*12*(D26-D27)*D29*D28</f>
        <v/>
      </c>
      <c r="E30" s="123">
        <f>Inputs!E6*12*(E26-E27)*E29*E28</f>
        <v/>
      </c>
      <c r="F30" t="inlineStr">
        <is>
          <t>formula</t>
        </is>
      </c>
      <c r="G30" s="117" t="inlineStr">
        <is>
          <t>Feeds Inputs row 67.</t>
        </is>
      </c>
    </row>
    <row r="31">
      <c r="A31" s="114" t="inlineStr">
        <is>
          <t>NEXT-BEST PROJECT - rules-only ticket-to-transaction attach and routing on structured fields (no AI)</t>
        </is>
      </c>
    </row>
    <row r="32">
      <c r="A32" t="inlineStr">
        <is>
          <t>Share of handling time saved</t>
        </is>
      </c>
      <c r="B32" t="inlineStr">
        <is>
          <t>share</t>
        </is>
      </c>
      <c r="C32" s="115" t="n">
        <v>0.03</v>
      </c>
      <c r="D32" s="115" t="n">
        <v>0.06</v>
      </c>
      <c r="E32" s="115" t="n">
        <v>0.09</v>
      </c>
      <c r="F32" s="116" t="inlineStr">
        <is>
          <t>guess</t>
        </is>
      </c>
      <c r="G32" s="117" t="inlineStr">
        <is>
          <t>Removes the search for the payment (about half of slice B) for tickets with an ID or amount, and routes the structured part. Test: observe 20 tickets.</t>
        </is>
      </c>
    </row>
    <row r="33">
      <c r="A33" t="inlineStr">
        <is>
          <t>Adoption factor</t>
        </is>
      </c>
      <c r="B33" t="inlineStr">
        <is>
          <t>share</t>
        </is>
      </c>
      <c r="C33" s="115" t="n">
        <v>0.6</v>
      </c>
      <c r="D33" s="115" t="n">
        <v>0.7</v>
      </c>
      <c r="E33" s="115" t="n">
        <v>0.8</v>
      </c>
      <c r="F33" s="116" t="inlineStr">
        <is>
          <t>guess</t>
        </is>
      </c>
      <c r="G33" s="117" t="inlineStr">
        <is>
          <t>A rule needs less ramp-up than a model, but it also has a build quarter.</t>
        </is>
      </c>
    </row>
    <row r="34">
      <c r="A34" t="inlineStr">
        <is>
          <t>Yearly cost (build amortised + upkeep)</t>
        </is>
      </c>
      <c r="B34" t="inlineStr">
        <is>
          <t>EUR / yr</t>
        </is>
      </c>
      <c r="C34" s="122" t="n">
        <v>35000</v>
      </c>
      <c r="D34" s="122" t="n">
        <v>30000</v>
      </c>
      <c r="E34" s="122" t="n">
        <v>25000</v>
      </c>
      <c r="F34" s="116" t="inlineStr">
        <is>
          <t>guess</t>
        </is>
      </c>
      <c r="G34" s="117" t="inlineStr">
        <is>
          <t>Integration is the same work as step 3 of the copilot, so it is not lost if the copilot is built later.</t>
        </is>
      </c>
    </row>
    <row r="35">
      <c r="A35" t="inlineStr">
        <is>
          <t>Net annual value of the next-best project</t>
        </is>
      </c>
      <c r="B35" t="inlineStr">
        <is>
          <t>EUR / yr</t>
        </is>
      </c>
      <c r="C35" s="123">
        <f>Inputs!C6*12*C32*Inputs!C9*C33-C34</f>
        <v/>
      </c>
      <c r="D35" s="123">
        <f>Inputs!D6*12*D32*Inputs!D9*D33-D34</f>
        <v/>
      </c>
      <c r="E35" s="123">
        <f>Inputs!E6*12*E32*Inputs!E9*E33-E34</f>
        <v/>
      </c>
      <c r="F35" t="inlineStr">
        <is>
          <t>formula</t>
        </is>
      </c>
      <c r="G35" s="117" t="inlineStr">
        <is>
          <t>Feeds Inputs row 60 (the hurdle).</t>
        </is>
      </c>
    </row>
  </sheetData>
  <pageMargins left="0.75" right="0.75" top="1" bottom="1" header="0.5" footer="0.5"/>
</worksheet>
</file>

<file path=xl/worksheets/sheet4.xml><?xml version="1.0" encoding="utf-8"?>
<worksheet xmlns="http://schemas.openxmlformats.org/spreadsheetml/2006/main">
  <sheetPr>
    <tabColor rgb="FF035CA0"/>
    <outlinePr summaryBelow="1" summaryRight="1"/>
    <pageSetUpPr/>
  </sheetPr>
  <dimension ref="A1:H30"/>
  <sheetViews>
    <sheetView workbookViewId="0">
      <selection activeCell="A1" sqref="A1"/>
    </sheetView>
  </sheetViews>
  <sheetFormatPr baseColWidth="8" defaultRowHeight="15"/>
  <cols>
    <col width="58" customWidth="1" style="68" min="1" max="1"/>
    <col width="16" customWidth="1" style="68" min="2" max="2"/>
    <col width="16" customWidth="1" style="68" min="3" max="3"/>
    <col width="16" customWidth="1" style="68" min="4" max="4"/>
    <col width="16" customWidth="1" style="68" min="5" max="5"/>
    <col width="16" customWidth="1" style="68" min="6" max="6"/>
    <col width="16" customWidth="1" style="68" min="7" max="7"/>
    <col width="80" customWidth="1" style="68" min="8" max="8"/>
  </cols>
  <sheetData>
    <row r="1">
      <c r="A1" s="111" t="inlineStr">
        <is>
          <t>02_sizing - Read options: monthly cost of the five ways to read a ticket (step 1)</t>
        </is>
      </c>
    </row>
    <row r="2">
      <c r="A2" s="112" t="inlineStr">
        <is>
          <t>All prices are guesses to recheck on the day. Effectiveness is NOT scored here: it is measured on the gold set in S4. This tab answers the cost and data-control criteria only.</t>
        </is>
      </c>
    </row>
    <row r="4">
      <c r="A4" s="114" t="inlineStr">
        <is>
          <t>ASSUMPTIONS</t>
        </is>
      </c>
    </row>
    <row r="5">
      <c r="A5" t="inlineStr">
        <is>
          <t>Tickets per month</t>
        </is>
      </c>
      <c r="B5" t="inlineStr">
        <is>
          <t>tickets</t>
        </is>
      </c>
      <c r="C5" s="124">
        <f>Inputs!D6</f>
        <v/>
      </c>
      <c r="D5" t="inlineStr">
        <is>
          <t>given</t>
        </is>
      </c>
      <c r="H5" s="112" t="inlineStr">
        <is>
          <t>Scenario data.</t>
        </is>
      </c>
    </row>
    <row r="6">
      <c r="A6" t="inlineStr">
        <is>
          <t>Input tokens per ticket (instructions, examples, message)</t>
        </is>
      </c>
      <c r="B6" t="inlineStr">
        <is>
          <t>tokens</t>
        </is>
      </c>
      <c r="C6" s="125" t="n">
        <v>1200</v>
      </c>
      <c r="D6" t="inlineStr">
        <is>
          <t>guess</t>
        </is>
      </c>
      <c r="H6" s="112" t="inlineStr">
        <is>
          <t>Prompted options need instructions and a few examples; the fine-tuned model needs far fewer.</t>
        </is>
      </c>
    </row>
    <row r="7">
      <c r="A7" t="inlineStr">
        <is>
          <t>Output tokens per ticket (the JSON)</t>
        </is>
      </c>
      <c r="B7" t="inlineStr">
        <is>
          <t>tokens</t>
        </is>
      </c>
      <c r="C7" s="125" t="n">
        <v>150</v>
      </c>
      <c r="D7" t="inlineStr">
        <is>
          <t>guess</t>
        </is>
      </c>
      <c r="H7" s="112" t="n"/>
    </row>
    <row r="8">
      <c r="A8" t="inlineStr">
        <is>
          <t>API price, small model - input</t>
        </is>
      </c>
      <c r="B8" t="inlineStr">
        <is>
          <t>EUR / M tokens</t>
        </is>
      </c>
      <c r="C8" s="120" t="n">
        <v>0.15</v>
      </c>
      <c r="D8" t="inlineStr">
        <is>
          <t>guess</t>
        </is>
      </c>
      <c r="H8" s="112" t="inlineStr">
        <is>
          <t>Recheck on the provider's price page the day you use it.</t>
        </is>
      </c>
    </row>
    <row r="9">
      <c r="A9" t="inlineStr">
        <is>
          <t>API price, small model - output</t>
        </is>
      </c>
      <c r="B9" t="inlineStr">
        <is>
          <t>EUR / M tokens</t>
        </is>
      </c>
      <c r="C9" s="120" t="n">
        <v>0.6</v>
      </c>
      <c r="D9" t="inlineStr">
        <is>
          <t>guess</t>
        </is>
      </c>
      <c r="H9" s="112" t="n"/>
    </row>
    <row r="10">
      <c r="A10" t="inlineStr">
        <is>
          <t>API price, large model - input</t>
        </is>
      </c>
      <c r="B10" t="inlineStr">
        <is>
          <t>EUR / M tokens</t>
        </is>
      </c>
      <c r="C10" s="120" t="n">
        <v>3</v>
      </c>
      <c r="D10" t="inlineStr">
        <is>
          <t>guess</t>
        </is>
      </c>
      <c r="H10" s="112" t="n"/>
    </row>
    <row r="11">
      <c r="A11" t="inlineStr">
        <is>
          <t>API price, large model - output</t>
        </is>
      </c>
      <c r="B11" t="inlineStr">
        <is>
          <t>EUR / M tokens</t>
        </is>
      </c>
      <c r="C11" s="120" t="n">
        <v>15</v>
      </c>
      <c r="D11" t="inlineStr">
        <is>
          <t>guess</t>
        </is>
      </c>
      <c r="H11" s="112" t="n"/>
    </row>
    <row r="12">
      <c r="A12" t="inlineStr">
        <is>
          <t>Model endpoint in our cloud account - small fine-tuned model</t>
        </is>
      </c>
      <c r="B12" t="inlineStr">
        <is>
          <t>EUR / month</t>
        </is>
      </c>
      <c r="C12" s="122" t="n">
        <v>150</v>
      </c>
      <c r="D12" t="inlineStr">
        <is>
          <t>guess</t>
        </is>
      </c>
      <c r="H12" s="112" t="inlineStr">
        <is>
          <t>A small quantised model on a CPU VM or a serverless GPU that scales to zero (billed per second). A dedicated always-on GPU would be about EUR 600. Recheck the cloud price list.</t>
        </is>
      </c>
    </row>
    <row r="13">
      <c r="A13" t="inlineStr">
        <is>
          <t>Fine-tuning runs per year</t>
        </is>
      </c>
      <c r="B13" t="inlineStr">
        <is>
          <t>runs</t>
        </is>
      </c>
      <c r="C13" s="126" t="n">
        <v>4</v>
      </c>
      <c r="D13" t="inlineStr">
        <is>
          <t>guess</t>
        </is>
      </c>
      <c r="H13" s="112" t="inlineStr">
        <is>
          <t>Initial training plus re-training when the gold set or taxonomy changes.</t>
        </is>
      </c>
    </row>
    <row r="14">
      <c r="A14" t="inlineStr">
        <is>
          <t>Cost of one fine-tuning run</t>
        </is>
      </c>
      <c r="B14" t="inlineStr">
        <is>
          <t>EUR</t>
        </is>
      </c>
      <c r="C14" s="122" t="n">
        <v>300</v>
      </c>
      <c r="D14" t="inlineStr">
        <is>
          <t>guess</t>
        </is>
      </c>
      <c r="H14" s="112" t="inlineStr">
        <is>
          <t>Small model, short run on a rented GPU. Does not include people time (that is in evaluation and supervision).</t>
        </is>
      </c>
    </row>
    <row r="15">
      <c r="A15" t="inlineStr">
        <is>
          <t>Model endpoint - larger open-source model (7-30B), prompted only</t>
        </is>
      </c>
      <c r="B15" t="inlineStr">
        <is>
          <t>EUR / month</t>
        </is>
      </c>
      <c r="C15" s="122" t="n">
        <v>1500</v>
      </c>
      <c r="D15" t="inlineStr">
        <is>
          <t>guess</t>
        </is>
      </c>
      <c r="H15" s="112" t="inlineStr">
        <is>
          <t>Needs a bigger GPU than the fine-tuned small model.</t>
        </is>
      </c>
    </row>
    <row r="16">
      <c r="A16" s="113" t="inlineStr">
        <is>
          <t>Option</t>
        </is>
      </c>
      <c r="B16" s="113" t="inlineStr"/>
      <c r="C16" s="113" t="inlineStr">
        <is>
          <t>EUR / month</t>
        </is>
      </c>
      <c r="D16" s="113" t="inlineStr">
        <is>
          <t>EUR / year</t>
        </is>
      </c>
      <c r="E16" s="113" t="inlineStr">
        <is>
          <t>Tickets leave Keelpay?</t>
        </is>
      </c>
      <c r="F16" s="113" t="inlineStr">
        <is>
          <t>Version pinned by us?</t>
        </is>
      </c>
      <c r="G16" s="113" t="inlineStr"/>
      <c r="H16" s="113" t="inlineStr">
        <is>
          <t>How it is computed / note</t>
        </is>
      </c>
    </row>
    <row r="17">
      <c r="A17" t="inlineStr">
        <is>
          <t>A - Deterministic rules</t>
        </is>
      </c>
      <c r="C17" s="122" t="n">
        <v>20</v>
      </c>
      <c r="D17" s="127">
        <f>C17*12</f>
        <v/>
      </c>
      <c r="E17" t="inlineStr">
        <is>
          <t>no</t>
        </is>
      </c>
      <c r="F17" t="inlineStr">
        <is>
          <t>yes</t>
        </is>
      </c>
      <c r="H17" s="112" t="inlineStr">
        <is>
          <t>Small service, mostly maintenance time (not counted).</t>
        </is>
      </c>
    </row>
    <row r="18">
      <c r="A18" t="inlineStr">
        <is>
          <t>B - Classical ML / small encoder</t>
        </is>
      </c>
      <c r="C18" s="122" t="n">
        <v>60</v>
      </c>
      <c r="D18" s="127">
        <f>C18*12</f>
        <v/>
      </c>
      <c r="E18" t="inlineStr">
        <is>
          <t>no</t>
        </is>
      </c>
      <c r="F18" t="inlineStr">
        <is>
          <t>yes</t>
        </is>
      </c>
      <c r="H18" s="112" t="inlineStr">
        <is>
          <t>CPU service; labelling effort sits in evaluation.</t>
        </is>
      </c>
    </row>
    <row r="19">
      <c r="A19" t="inlineStr">
        <is>
          <t>C - Open-source LLM, prompted, in our cloud account</t>
        </is>
      </c>
      <c r="C19" s="127">
        <f>C15</f>
        <v/>
      </c>
      <c r="D19" s="127">
        <f>C19*12</f>
        <v/>
      </c>
      <c r="E19" t="inlineStr">
        <is>
          <t>no</t>
        </is>
      </c>
      <c r="F19" t="inlineStr">
        <is>
          <t>yes</t>
        </is>
      </c>
      <c r="H19" s="112" t="inlineStr">
        <is>
          <t>Larger model, bigger GPU than D.</t>
        </is>
      </c>
    </row>
    <row r="20">
      <c r="A20" t="inlineStr">
        <is>
          <t>D - Small fine-tuned LLM, in our cloud account</t>
        </is>
      </c>
      <c r="C20" s="127">
        <f>C12+C13*C14/12</f>
        <v/>
      </c>
      <c r="D20" s="127">
        <f>C20*12</f>
        <v/>
      </c>
      <c r="E20" t="inlineStr">
        <is>
          <t>no</t>
        </is>
      </c>
      <c r="F20" t="inlineStr">
        <is>
          <t>yes</t>
        </is>
      </c>
      <c r="H20" s="112" t="inlineStr">
        <is>
          <t>Endpoint plus training runs spread over the year.</t>
        </is>
      </c>
    </row>
    <row r="21">
      <c r="A21" t="inlineStr">
        <is>
          <t>E1 - External API, small model, prompted</t>
        </is>
      </c>
      <c r="C21" s="127">
        <f>C5*(C6*C8+C7*C9)/1000000</f>
        <v/>
      </c>
      <c r="D21" s="127">
        <f>C21*12</f>
        <v/>
      </c>
      <c r="E21" t="inlineStr">
        <is>
          <t>yes</t>
        </is>
      </c>
      <c r="F21" t="inlineStr">
        <is>
          <t>no (provider can retire it)</t>
        </is>
      </c>
      <c r="H21" s="112" t="inlineStr">
        <is>
          <t>tickets x (tokens in x price in + tokens out x price out).</t>
        </is>
      </c>
    </row>
    <row r="22">
      <c r="A22" t="inlineStr">
        <is>
          <t>E2 - External API, large model, prompted</t>
        </is>
      </c>
      <c r="C22" s="127">
        <f>C5*(C6*C10+C7*C11)/1000000</f>
        <v/>
      </c>
      <c r="D22" s="127">
        <f>C22*12</f>
        <v/>
      </c>
      <c r="E22" t="inlineStr">
        <is>
          <t>yes</t>
        </is>
      </c>
      <c r="F22" t="inlineStr">
        <is>
          <t>no (provider can retire it)</t>
        </is>
      </c>
      <c r="H22" s="112" t="inlineStr">
        <is>
          <t>Same, large model.</t>
        </is>
      </c>
    </row>
    <row r="24">
      <c r="A24" s="114" t="inlineStr">
        <is>
          <t>BREAK-EVEN</t>
        </is>
      </c>
    </row>
    <row r="25">
      <c r="A25" t="inlineStr">
        <is>
          <t>API cost per ticket, small model (E1)</t>
        </is>
      </c>
      <c r="C25" s="128">
        <f>(C6*C8+C7*C9)/1000000</f>
        <v/>
      </c>
    </row>
    <row r="26">
      <c r="A26" t="inlineStr">
        <is>
          <t>Volume above which self-hosting D costs less than E1</t>
        </is>
      </c>
      <c r="B26" t="inlineStr">
        <is>
          <t>tickets / month</t>
        </is>
      </c>
      <c r="C26" s="124">
        <f>IFERROR(C20/C25,"")</f>
        <v/>
      </c>
    </row>
    <row r="27">
      <c r="A27" t="inlineStr">
        <is>
          <t>... as a multiple of our volume</t>
        </is>
      </c>
      <c r="C27" s="129">
        <f>IFERROR(C26/C5,"")</f>
        <v/>
      </c>
    </row>
    <row r="28">
      <c r="A28" s="130" t="inlineStr">
        <is>
          <t>Reading: at this volume an external API is cheaper than any option in our cloud account, but the gap is a few thousand euros a year, small next to the value of accuracy (one point of routing accuracy is worth about EUR 14k a year in hand-overs). So choose D, C or E on accuracy on the gold set first; then on data and control (tickets with payment data stay in our tenancy, model version pinned, no provider retirement), a product decision for the Head of Compliance. The data argument only holds if the drafter, which sees more payment data than the router, is also kept in our tenancy or under an EU zero-retention contract.</t>
        </is>
      </c>
    </row>
    <row r="29"/>
    <row r="30"/>
  </sheetData>
  <mergeCells count="1">
    <mergeCell ref="A28:H30"/>
  </mergeCells>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F4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67" min="1" max="1"/>
    <col width="12" customWidth="1" style="67" min="2" max="2"/>
    <col width="15" customWidth="1" style="67" min="3" max="5"/>
    <col width="60" customWidth="1" style="67" min="6" max="6"/>
  </cols>
  <sheetData>
    <row r="1" ht="17.25" customHeight="1" s="68">
      <c r="A1" s="77" t="inlineStr">
        <is>
          <t>02_sizing — your agent · Upside (bottom-up tree per category, year 1)</t>
        </is>
      </c>
    </row>
    <row r="2" ht="15" customHeight="1" s="68">
      <c r="A2" s="131" t="inlineStr">
        <is>
          <t>All cells are formulas linked to Inputs (green = link to another sheet). Read each block top to bottom: it is the tree from the S2 slides, per ticket category.</t>
        </is>
      </c>
    </row>
    <row r="4" ht="27.75" customHeight="1" s="68">
      <c r="A4" s="79" t="inlineStr">
        <is>
          <t>Line</t>
        </is>
      </c>
      <c r="B4" s="79" t="inlineStr">
        <is>
          <t>Unit</t>
        </is>
      </c>
      <c r="C4" s="79" t="inlineStr">
        <is>
          <t>Low</t>
        </is>
      </c>
      <c r="D4" s="79" t="inlineStr">
        <is>
          <t>Base</t>
        </is>
      </c>
      <c r="E4" s="79" t="inlineStr">
        <is>
          <t>High</t>
        </is>
      </c>
      <c r="F4" s="79" t="inlineStr">
        <is>
          <t>How it is computed</t>
        </is>
      </c>
    </row>
    <row r="5" ht="15" customHeight="1" s="68">
      <c r="A5" s="87" t="inlineStr">
        <is>
          <t>Year-1 adoption factor (average of the four quarters)</t>
        </is>
      </c>
      <c r="C5" s="132">
        <f>IFERROR(AVERAGE(Inputs!C39:C42),0)</f>
        <v/>
      </c>
      <c r="D5" s="132">
        <f>IFERROR(AVERAGE(Inputs!D39:D42),0)</f>
        <v/>
      </c>
      <c r="E5" s="132">
        <f>IFERROR(AVERAGE(Inputs!E39:E42),0)</f>
        <v/>
      </c>
      <c r="F5" s="91" t="inlineStr">
        <is>
          <t>→ AVERAGE(Inputs ramp Q1..Q4)</t>
        </is>
      </c>
    </row>
    <row r="7" ht="15" customHeight="1" s="68">
      <c r="A7" s="81">
        <f>UPPER(TRIM(Inputs!A14))</f>
        <v/>
      </c>
    </row>
    <row r="8" ht="15" customHeight="1" s="68">
      <c r="A8" s="82" t="inlineStr">
        <is>
          <t>Tickets per month in this category</t>
        </is>
      </c>
      <c r="B8" s="82" t="inlineStr">
        <is>
          <t>tickets</t>
        </is>
      </c>
      <c r="C8" s="133">
        <f>Inputs!C$6*Inputs!C14</f>
        <v/>
      </c>
      <c r="D8" s="133">
        <f>Inputs!D$6*Inputs!D14</f>
        <v/>
      </c>
      <c r="E8" s="133">
        <f>Inputs!E$6*Inputs!E14</f>
        <v/>
      </c>
      <c r="F8" s="85" t="inlineStr">
        <is>
          <t>→ tickets/month × share</t>
        </is>
      </c>
    </row>
    <row r="9" ht="15" customHeight="1" s="68">
      <c r="A9" s="82" t="inlineStr">
        <is>
          <t>Automatable tickets per month</t>
        </is>
      </c>
      <c r="B9" s="82" t="inlineStr">
        <is>
          <t>tickets</t>
        </is>
      </c>
      <c r="C9" s="134">
        <f>C8*Inputs!C18</f>
        <v/>
      </c>
      <c r="D9" s="134">
        <f>D8*Inputs!D18</f>
        <v/>
      </c>
      <c r="E9" s="134">
        <f>E8*Inputs!E18</f>
        <v/>
      </c>
      <c r="F9" s="85" t="inlineStr">
        <is>
          <t>× automatable share</t>
        </is>
      </c>
    </row>
    <row r="10" ht="15" customHeight="1" s="68">
      <c r="A10" s="82" t="inlineStr">
        <is>
          <t>Deflected per month at steady state (if in scope)</t>
        </is>
      </c>
      <c r="B10" s="82" t="inlineStr">
        <is>
          <t>tickets</t>
        </is>
      </c>
      <c r="C10" s="134">
        <f>C9*Inputs!C22*Inputs!C34</f>
        <v/>
      </c>
      <c r="D10" s="134">
        <f>D9*Inputs!D22*Inputs!D34</f>
        <v/>
      </c>
      <c r="E10" s="134">
        <f>E9*Inputs!E22*Inputs!E34</f>
        <v/>
      </c>
      <c r="F10" s="85" t="inlineStr">
        <is>
          <t>× deflection realised × include flag</t>
        </is>
      </c>
    </row>
    <row r="11" ht="15" customHeight="1" s="68">
      <c r="A11" s="82" t="inlineStr">
        <is>
          <t>Deflected in year 1, with the adoption ramp</t>
        </is>
      </c>
      <c r="B11" s="82" t="inlineStr">
        <is>
          <t>tickets / yr</t>
        </is>
      </c>
      <c r="C11" s="134">
        <f>C10*12*C$5</f>
        <v/>
      </c>
      <c r="D11" s="134">
        <f>D10*12*D$5</f>
        <v/>
      </c>
      <c r="E11" s="134">
        <f>E10*12*E$5</f>
        <v/>
      </c>
      <c r="F11" s="85" t="inlineStr">
        <is>
          <t>× 12 × year-1 adoption factor</t>
        </is>
      </c>
    </row>
    <row r="12" ht="15" customHeight="1" s="68">
      <c r="A12" s="82" t="inlineStr">
        <is>
          <t>Gross value — human work avoided</t>
        </is>
      </c>
      <c r="B12" s="82" t="inlineStr">
        <is>
          <t>€ / yr</t>
        </is>
      </c>
      <c r="C12" s="135">
        <f>C11*Inputs!C$9</f>
        <v/>
      </c>
      <c r="D12" s="135">
        <f>D11*Inputs!D$9</f>
        <v/>
      </c>
      <c r="E12" s="135">
        <f>E11*Inputs!E$9</f>
        <v/>
      </c>
      <c r="F12" s="85" t="inlineStr">
        <is>
          <t>× fully loaded cost of a human ticket</t>
        </is>
      </c>
    </row>
    <row r="13" ht="15" customHeight="1" s="68">
      <c r="A13" s="82" t="inlineStr">
        <is>
          <t>Expected cost of wrong answers</t>
        </is>
      </c>
      <c r="B13" s="82" t="inlineStr">
        <is>
          <t>€ / yr</t>
        </is>
      </c>
      <c r="C13" s="135">
        <f>C11*Inputs!C26*Inputs!C30</f>
        <v/>
      </c>
      <c r="D13" s="135">
        <f>D11*Inputs!D26*Inputs!D30</f>
        <v/>
      </c>
      <c r="E13" s="135">
        <f>E11*Inputs!E26*Inputs!E30</f>
        <v/>
      </c>
      <c r="F13" s="85" t="inlineStr">
        <is>
          <t>deflected × error rate × cost of one wrong answer — the tail, priced</t>
        </is>
      </c>
    </row>
    <row r="14" ht="15" customHeight="1" s="68">
      <c r="A14" s="82" t="inlineStr">
        <is>
          <t>AI handling cost (tokens, retries)</t>
        </is>
      </c>
      <c r="B14" s="82" t="inlineStr">
        <is>
          <t>€ / yr</t>
        </is>
      </c>
      <c r="C14" s="135">
        <f>C11*Inputs!C$45*Inputs!C$46</f>
        <v/>
      </c>
      <c r="D14" s="135">
        <f>D11*Inputs!D$45*Inputs!D$46</f>
        <v/>
      </c>
      <c r="E14" s="135">
        <f>E11*Inputs!E$45*Inputs!E$46</f>
        <v/>
      </c>
      <c r="F14" s="85" t="inlineStr">
        <is>
          <t>deflected × cost per conversation × retry overhead</t>
        </is>
      </c>
    </row>
    <row r="15" ht="15" customHeight="1" s="68">
      <c r="A15" s="87" t="inlineStr">
        <is>
          <t>Net contribution of this category</t>
        </is>
      </c>
      <c r="B15" s="82" t="inlineStr">
        <is>
          <t>€ / yr</t>
        </is>
      </c>
      <c r="C15" s="136">
        <f>C12-C13-C14</f>
        <v/>
      </c>
      <c r="D15" s="136">
        <f>D12-D13-D14</f>
        <v/>
      </c>
      <c r="E15" s="136">
        <f>E12-E13-E14</f>
        <v/>
      </c>
      <c r="F15" s="85" t="inlineStr">
        <is>
          <t>gross − error cost − AI cost</t>
        </is>
      </c>
    </row>
    <row r="17" ht="15" customHeight="1" s="68">
      <c r="A17" s="81">
        <f>UPPER(TRIM(Inputs!A15))</f>
        <v/>
      </c>
    </row>
    <row r="18" ht="15" customHeight="1" s="68">
      <c r="A18" s="82" t="inlineStr">
        <is>
          <t>Tickets per month in this category</t>
        </is>
      </c>
      <c r="B18" s="82" t="inlineStr">
        <is>
          <t>tickets</t>
        </is>
      </c>
      <c r="C18" s="133">
        <f>Inputs!C$6*Inputs!C15</f>
        <v/>
      </c>
      <c r="D18" s="133">
        <f>Inputs!D$6*Inputs!D15</f>
        <v/>
      </c>
      <c r="E18" s="133">
        <f>Inputs!E$6*Inputs!E15</f>
        <v/>
      </c>
      <c r="F18" s="85" t="inlineStr">
        <is>
          <t>→ tickets/month × share</t>
        </is>
      </c>
    </row>
    <row r="19" ht="15" customHeight="1" s="68">
      <c r="A19" s="82" t="inlineStr">
        <is>
          <t>Automatable tickets per month</t>
        </is>
      </c>
      <c r="B19" s="82" t="inlineStr">
        <is>
          <t>tickets</t>
        </is>
      </c>
      <c r="C19" s="134">
        <f>C18*Inputs!C19</f>
        <v/>
      </c>
      <c r="D19" s="134">
        <f>D18*Inputs!D19</f>
        <v/>
      </c>
      <c r="E19" s="134">
        <f>E18*Inputs!E19</f>
        <v/>
      </c>
      <c r="F19" s="85" t="inlineStr">
        <is>
          <t>× automatable share</t>
        </is>
      </c>
    </row>
    <row r="20" ht="15" customHeight="1" s="68">
      <c r="A20" s="82" t="inlineStr">
        <is>
          <t>Deflected per month at steady state (if in scope)</t>
        </is>
      </c>
      <c r="B20" s="82" t="inlineStr">
        <is>
          <t>tickets</t>
        </is>
      </c>
      <c r="C20" s="134">
        <f>C19*Inputs!C23*Inputs!C35</f>
        <v/>
      </c>
      <c r="D20" s="134">
        <f>D19*Inputs!D23*Inputs!D35</f>
        <v/>
      </c>
      <c r="E20" s="134">
        <f>E19*Inputs!E23*Inputs!E35</f>
        <v/>
      </c>
      <c r="F20" s="85" t="inlineStr">
        <is>
          <t>× deflection realised × include flag</t>
        </is>
      </c>
    </row>
    <row r="21" ht="15" customHeight="1" s="68">
      <c r="A21" s="82" t="inlineStr">
        <is>
          <t>Deflected in year 1, with the adoption ramp</t>
        </is>
      </c>
      <c r="B21" s="82" t="inlineStr">
        <is>
          <t>tickets / yr</t>
        </is>
      </c>
      <c r="C21" s="134">
        <f>C20*12*C$5</f>
        <v/>
      </c>
      <c r="D21" s="134">
        <f>D20*12*D$5</f>
        <v/>
      </c>
      <c r="E21" s="134">
        <f>E20*12*E$5</f>
        <v/>
      </c>
      <c r="F21" s="85" t="inlineStr">
        <is>
          <t>× 12 × year-1 adoption factor</t>
        </is>
      </c>
    </row>
    <row r="22" ht="15" customHeight="1" s="68">
      <c r="A22" s="82" t="inlineStr">
        <is>
          <t>Gross value — human work avoided</t>
        </is>
      </c>
      <c r="B22" s="82" t="inlineStr">
        <is>
          <t>€ / yr</t>
        </is>
      </c>
      <c r="C22" s="135">
        <f>C21*Inputs!C$9</f>
        <v/>
      </c>
      <c r="D22" s="135">
        <f>D21*Inputs!D$9</f>
        <v/>
      </c>
      <c r="E22" s="135">
        <f>E21*Inputs!E$9</f>
        <v/>
      </c>
      <c r="F22" s="85" t="inlineStr">
        <is>
          <t>× fully loaded cost of a human ticket</t>
        </is>
      </c>
    </row>
    <row r="23" ht="15" customHeight="1" s="68">
      <c r="A23" s="82" t="inlineStr">
        <is>
          <t>Expected cost of wrong answers</t>
        </is>
      </c>
      <c r="B23" s="82" t="inlineStr">
        <is>
          <t>€ / yr</t>
        </is>
      </c>
      <c r="C23" s="135">
        <f>C21*Inputs!C27*Inputs!C31</f>
        <v/>
      </c>
      <c r="D23" s="135">
        <f>D21*Inputs!D27*Inputs!D31</f>
        <v/>
      </c>
      <c r="E23" s="135">
        <f>E21*Inputs!E27*Inputs!E31</f>
        <v/>
      </c>
      <c r="F23" s="85" t="inlineStr">
        <is>
          <t>deflected × error rate × cost of one wrong answer — the tail, priced</t>
        </is>
      </c>
    </row>
    <row r="24" ht="15" customHeight="1" s="68">
      <c r="A24" s="82" t="inlineStr">
        <is>
          <t>AI handling cost (tokens, retries)</t>
        </is>
      </c>
      <c r="B24" s="82" t="inlineStr">
        <is>
          <t>€ / yr</t>
        </is>
      </c>
      <c r="C24" s="135">
        <f>C21*Inputs!C$45*Inputs!C$46</f>
        <v/>
      </c>
      <c r="D24" s="135">
        <f>D21*Inputs!D$45*Inputs!D$46</f>
        <v/>
      </c>
      <c r="E24" s="135">
        <f>E21*Inputs!E$45*Inputs!E$46</f>
        <v/>
      </c>
      <c r="F24" s="85" t="inlineStr">
        <is>
          <t>deflected × cost per conversation × retry overhead</t>
        </is>
      </c>
    </row>
    <row r="25" ht="15" customHeight="1" s="68">
      <c r="A25" s="87" t="inlineStr">
        <is>
          <t>Net contribution of this category</t>
        </is>
      </c>
      <c r="B25" s="82" t="inlineStr">
        <is>
          <t>€ / yr</t>
        </is>
      </c>
      <c r="C25" s="136">
        <f>C22-C23-C24</f>
        <v/>
      </c>
      <c r="D25" s="136">
        <f>D22-D23-D24</f>
        <v/>
      </c>
      <c r="E25" s="136">
        <f>E22-E23-E24</f>
        <v/>
      </c>
      <c r="F25" s="85" t="inlineStr">
        <is>
          <t>gross − error cost − AI cost</t>
        </is>
      </c>
    </row>
    <row r="27" ht="15" customHeight="1" s="68">
      <c r="A27" s="81">
        <f>UPPER(TRIM(Inputs!A16))</f>
        <v/>
      </c>
    </row>
    <row r="28" ht="15" customHeight="1" s="68">
      <c r="A28" s="82" t="inlineStr">
        <is>
          <t>Tickets per month in this category</t>
        </is>
      </c>
      <c r="B28" s="82" t="inlineStr">
        <is>
          <t>tickets</t>
        </is>
      </c>
      <c r="C28" s="133">
        <f>Inputs!C$6*Inputs!C16</f>
        <v/>
      </c>
      <c r="D28" s="133">
        <f>Inputs!D$6*Inputs!D16</f>
        <v/>
      </c>
      <c r="E28" s="133">
        <f>Inputs!E$6*Inputs!E16</f>
        <v/>
      </c>
      <c r="F28" s="85" t="inlineStr">
        <is>
          <t>→ tickets/month × share</t>
        </is>
      </c>
    </row>
    <row r="29" ht="15" customHeight="1" s="68">
      <c r="A29" s="82" t="inlineStr">
        <is>
          <t>Automatable tickets per month</t>
        </is>
      </c>
      <c r="B29" s="82" t="inlineStr">
        <is>
          <t>tickets</t>
        </is>
      </c>
      <c r="C29" s="134">
        <f>C28*Inputs!C20</f>
        <v/>
      </c>
      <c r="D29" s="134">
        <f>D28*Inputs!D20</f>
        <v/>
      </c>
      <c r="E29" s="134">
        <f>E28*Inputs!E20</f>
        <v/>
      </c>
      <c r="F29" s="85" t="inlineStr">
        <is>
          <t>× automatable share</t>
        </is>
      </c>
    </row>
    <row r="30" ht="15" customHeight="1" s="68">
      <c r="A30" s="82" t="inlineStr">
        <is>
          <t>Deflected per month at steady state (if in scope)</t>
        </is>
      </c>
      <c r="B30" s="82" t="inlineStr">
        <is>
          <t>tickets</t>
        </is>
      </c>
      <c r="C30" s="134">
        <f>C29*Inputs!C24*Inputs!C36</f>
        <v/>
      </c>
      <c r="D30" s="134">
        <f>D29*Inputs!D24*Inputs!D36</f>
        <v/>
      </c>
      <c r="E30" s="134">
        <f>E29*Inputs!E24*Inputs!E36</f>
        <v/>
      </c>
      <c r="F30" s="85" t="inlineStr">
        <is>
          <t>× deflection realised × include flag</t>
        </is>
      </c>
    </row>
    <row r="31" ht="15" customHeight="1" s="68">
      <c r="A31" s="82" t="inlineStr">
        <is>
          <t>Deflected in year 1, with the adoption ramp</t>
        </is>
      </c>
      <c r="B31" s="82" t="inlineStr">
        <is>
          <t>tickets / yr</t>
        </is>
      </c>
      <c r="C31" s="134">
        <f>C30*12*C$5</f>
        <v/>
      </c>
      <c r="D31" s="134">
        <f>D30*12*D$5</f>
        <v/>
      </c>
      <c r="E31" s="134">
        <f>E30*12*E$5</f>
        <v/>
      </c>
      <c r="F31" s="85" t="inlineStr">
        <is>
          <t>× 12 × year-1 adoption factor</t>
        </is>
      </c>
    </row>
    <row r="32" ht="15" customHeight="1" s="68">
      <c r="A32" s="82" t="inlineStr">
        <is>
          <t>Gross value — human work avoided</t>
        </is>
      </c>
      <c r="B32" s="82" t="inlineStr">
        <is>
          <t>€ / yr</t>
        </is>
      </c>
      <c r="C32" s="135">
        <f>C31*Inputs!C$9</f>
        <v/>
      </c>
      <c r="D32" s="135">
        <f>D31*Inputs!D$9</f>
        <v/>
      </c>
      <c r="E32" s="135">
        <f>E31*Inputs!E$9</f>
        <v/>
      </c>
      <c r="F32" s="85" t="inlineStr">
        <is>
          <t>× fully loaded cost of a human ticket</t>
        </is>
      </c>
    </row>
    <row r="33" ht="15" customHeight="1" s="68">
      <c r="A33" s="82" t="inlineStr">
        <is>
          <t>Expected cost of wrong answers</t>
        </is>
      </c>
      <c r="B33" s="82" t="inlineStr">
        <is>
          <t>€ / yr</t>
        </is>
      </c>
      <c r="C33" s="135">
        <f>C31*Inputs!C28*Inputs!C32</f>
        <v/>
      </c>
      <c r="D33" s="135">
        <f>D31*Inputs!D28*Inputs!D32</f>
        <v/>
      </c>
      <c r="E33" s="135">
        <f>E31*Inputs!E28*Inputs!E32</f>
        <v/>
      </c>
      <c r="F33" s="85" t="inlineStr">
        <is>
          <t>deflected × error rate × cost of one wrong answer — the tail, priced</t>
        </is>
      </c>
    </row>
    <row r="34" ht="15" customHeight="1" s="68">
      <c r="A34" s="82" t="inlineStr">
        <is>
          <t>AI handling cost (tokens, retries)</t>
        </is>
      </c>
      <c r="B34" s="82" t="inlineStr">
        <is>
          <t>€ / yr</t>
        </is>
      </c>
      <c r="C34" s="135">
        <f>C31*Inputs!C$45*Inputs!C$46</f>
        <v/>
      </c>
      <c r="D34" s="135">
        <f>D31*Inputs!D$45*Inputs!D$46</f>
        <v/>
      </c>
      <c r="E34" s="135">
        <f>E31*Inputs!E$45*Inputs!E$46</f>
        <v/>
      </c>
      <c r="F34" s="85" t="inlineStr">
        <is>
          <t>deflected × cost per conversation × retry overhead</t>
        </is>
      </c>
    </row>
    <row r="35" ht="15" customHeight="1" s="68">
      <c r="A35" s="87" t="inlineStr">
        <is>
          <t>Net contribution of this category</t>
        </is>
      </c>
      <c r="B35" s="82" t="inlineStr">
        <is>
          <t>€ / yr</t>
        </is>
      </c>
      <c r="C35" s="136">
        <f>C32-C33-C34</f>
        <v/>
      </c>
      <c r="D35" s="136">
        <f>D32-D33-D34</f>
        <v/>
      </c>
      <c r="E35" s="136">
        <f>E32-E33-E34</f>
        <v/>
      </c>
      <c r="F35" s="85" t="inlineStr">
        <is>
          <t>gross − error cost − AI cost</t>
        </is>
      </c>
    </row>
    <row r="37" ht="15" customHeight="1" s="68">
      <c r="A37" s="81" t="inlineStr">
        <is>
          <t>TOTALS — ALL CATEGORIES IN SCOPE</t>
        </is>
      </c>
    </row>
    <row r="38" ht="15" customHeight="1" s="68">
      <c r="A38" s="82" t="inlineStr">
        <is>
          <t>Tickets deflected in year 1</t>
        </is>
      </c>
      <c r="B38" s="82" t="inlineStr">
        <is>
          <t>tickets / yr</t>
        </is>
      </c>
      <c r="C38" s="134">
        <f>C11+C21+C31</f>
        <v/>
      </c>
      <c r="D38" s="134">
        <f>D11+D21+D31</f>
        <v/>
      </c>
      <c r="E38" s="134">
        <f>E11+E21+E31</f>
        <v/>
      </c>
      <c r="F38" s="85" t="inlineStr">
        <is>
          <t>sum of the three categories</t>
        </is>
      </c>
    </row>
    <row r="39" ht="15" customHeight="1" s="68">
      <c r="A39" s="82" t="inlineStr">
        <is>
          <t>Gross value — human work avoided</t>
        </is>
      </c>
      <c r="B39" s="82" t="inlineStr">
        <is>
          <t>€ / yr</t>
        </is>
      </c>
      <c r="C39" s="135">
        <f>C12+C22+C32</f>
        <v/>
      </c>
      <c r="D39" s="135">
        <f>D12+D22+D32</f>
        <v/>
      </c>
      <c r="E39" s="135">
        <f>E12+E22+E32</f>
        <v/>
      </c>
      <c r="F39" s="85" t="inlineStr">
        <is>
          <t>sum of the three categories</t>
        </is>
      </c>
    </row>
    <row r="40" ht="15" customHeight="1" s="68">
      <c r="A40" s="82" t="inlineStr">
        <is>
          <t>Expected cost of wrong answers</t>
        </is>
      </c>
      <c r="B40" s="82" t="inlineStr">
        <is>
          <t>€ / yr</t>
        </is>
      </c>
      <c r="C40" s="135">
        <f>C13+C23+C33</f>
        <v/>
      </c>
      <c r="D40" s="135">
        <f>D13+D23+D33</f>
        <v/>
      </c>
      <c r="E40" s="135">
        <f>E13+E23+E33</f>
        <v/>
      </c>
      <c r="F40" s="85" t="inlineStr">
        <is>
          <t>sum of the three categories</t>
        </is>
      </c>
    </row>
    <row r="41" ht="15" customHeight="1" s="68">
      <c r="A41" s="82" t="inlineStr">
        <is>
          <t>AI handling cost</t>
        </is>
      </c>
      <c r="B41" s="82" t="inlineStr">
        <is>
          <t>€ / yr</t>
        </is>
      </c>
      <c r="C41" s="135">
        <f>C14+C24+C34</f>
        <v/>
      </c>
      <c r="D41" s="135">
        <f>D14+D24+D34</f>
        <v/>
      </c>
      <c r="E41" s="135">
        <f>E14+E24+E34</f>
        <v/>
      </c>
      <c r="F41" s="85" t="inlineStr">
        <is>
          <t>sum of the three categories</t>
        </is>
      </c>
    </row>
    <row r="42" ht="15" customHeight="1" s="68">
      <c r="A42" s="87" t="inlineStr">
        <is>
          <t>Net variable contribution (before fixed costs)</t>
        </is>
      </c>
      <c r="B42" s="82" t="inlineStr">
        <is>
          <t>€ / yr</t>
        </is>
      </c>
      <c r="C42" s="136">
        <f>C15+C25+C35</f>
        <v/>
      </c>
      <c r="D42" s="136">
        <f>D15+D25+D35</f>
        <v/>
      </c>
      <c r="E42" s="136">
        <f>E15+E25+E35</f>
        <v/>
      </c>
      <c r="F42" s="85" t="inlineStr">
        <is>
          <t>sum of the three categories</t>
        </is>
      </c>
    </row>
    <row r="44" ht="15" customHeight="1" s="68">
      <c r="A44" s="82" t="inlineStr">
        <is>
          <t>Share of all tickets deflected in year 1</t>
        </is>
      </c>
      <c r="B44" s="82" t="inlineStr">
        <is>
          <t>share</t>
        </is>
      </c>
      <c r="C44" s="137">
        <f>IF(Inputs!C6=0,0,C38/(Inputs!C6*12))</f>
        <v/>
      </c>
      <c r="D44" s="137">
        <f>IF(Inputs!D6=0,0,D38/(Inputs!D6*12))</f>
        <v/>
      </c>
      <c r="E44" s="137">
        <f>IF(Inputs!E6=0,0,E38/(Inputs!E6*12))</f>
        <v/>
      </c>
      <c r="F44" s="85" t="inlineStr">
        <is>
          <t>sanity check: the SOM in ticket terms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4" customWidth="1" style="67" min="1" max="1"/>
    <col width="12" customWidth="1" style="67" min="2" max="2"/>
    <col width="15" customWidth="1" style="67" min="3" max="5"/>
    <col width="60" customWidth="1" style="67" min="6" max="6"/>
  </cols>
  <sheetData>
    <row r="1" ht="17.25" customHeight="1" s="68">
      <c r="A1" s="77" t="inlineStr">
        <is>
          <t>02_sizing — your agent · Costs &amp; Decision</t>
        </is>
      </c>
    </row>
    <row r="2" ht="15" customHeight="1" s="68">
      <c r="A2" s="131" t="inlineStr">
        <is>
          <t>Three scenarios → expected value → two comparisons (do-nothing, hurdle). Green = links to Upside / Inputs; black = formulas.</t>
        </is>
      </c>
    </row>
    <row r="4" ht="27.75" customHeight="1" s="68">
      <c r="A4" s="79" t="inlineStr">
        <is>
          <t>Line</t>
        </is>
      </c>
      <c r="B4" s="79" t="inlineStr">
        <is>
          <t>Unit</t>
        </is>
      </c>
      <c r="C4" s="79" t="inlineStr">
        <is>
          <t>Low (pessimistic)</t>
        </is>
      </c>
      <c r="D4" s="79" t="inlineStr">
        <is>
          <t>Base</t>
        </is>
      </c>
      <c r="E4" s="79" t="inlineStr">
        <is>
          <t>High (optimistic)</t>
        </is>
      </c>
      <c r="F4" s="79" t="inlineStr">
        <is>
          <t>How it is computed</t>
        </is>
      </c>
    </row>
    <row r="5" ht="15" customHeight="1" s="68">
      <c r="A5" s="81" t="inlineStr">
        <is>
          <t>VALUE</t>
        </is>
      </c>
    </row>
    <row r="6" ht="15" customHeight="1" s="68">
      <c r="A6" s="82" t="inlineStr">
        <is>
          <t>Net variable contribution (Upside) + other value (Inputs rows 67–68)</t>
        </is>
      </c>
      <c r="B6" s="82" t="inlineStr">
        <is>
          <t>€ / yr</t>
        </is>
      </c>
      <c r="C6" s="138">
        <f>Upside!C42+N(Inputs!C67)+N(Inputs!C68)</f>
        <v/>
      </c>
      <c r="D6" s="138">
        <f>Upside!D42+N(Inputs!D67)+N(Inputs!D68)</f>
        <v/>
      </c>
      <c r="E6" s="138">
        <f>Upside!E42+N(Inputs!E67)+N(Inputs!E68)</f>
        <v/>
      </c>
      <c r="F6" s="85" t="inlineStr">
        <is>
          <t>gross − error cost − AI cost, all categories in scope</t>
        </is>
      </c>
    </row>
    <row r="8" ht="15" customHeight="1" s="68">
      <c r="A8" s="81" t="inlineStr">
        <is>
          <t>FIXED AND SEMI-FIXED COSTS</t>
        </is>
      </c>
    </row>
    <row r="9" ht="15" customHeight="1" s="68">
      <c r="A9" s="82" t="inlineStr">
        <is>
          <t>Integration, amortised</t>
        </is>
      </c>
      <c r="B9" s="82" t="inlineStr">
        <is>
          <t>€ / yr</t>
        </is>
      </c>
      <c r="C9" s="138">
        <f>IFERROR(Inputs!C49/Inputs!C50,0)</f>
        <v/>
      </c>
      <c r="D9" s="138">
        <f>IFERROR(Inputs!D49/Inputs!D50,0)</f>
        <v/>
      </c>
      <c r="E9" s="138">
        <f>IFERROR(Inputs!E49/Inputs!E50,0)</f>
        <v/>
      </c>
      <c r="F9" s="85" t="inlineStr">
        <is>
          <t>one-off ÷ amortisation years</t>
        </is>
      </c>
    </row>
    <row r="10" ht="15" customHeight="1" s="68">
      <c r="A10" s="82" t="inlineStr">
        <is>
          <t>Evaluation — eval-set and graders</t>
        </is>
      </c>
      <c r="B10" s="82" t="inlineStr">
        <is>
          <t>€ / yr</t>
        </is>
      </c>
      <c r="C10" s="138">
        <f>Inputs!C51</f>
        <v/>
      </c>
      <c r="D10" s="138">
        <f>Inputs!D51</f>
        <v/>
      </c>
      <c r="E10" s="138">
        <f>Inputs!E51</f>
        <v/>
      </c>
      <c r="F10" s="85" t="n"/>
    </row>
    <row r="11" ht="15" customHeight="1" s="68">
      <c r="A11" s="82" t="inlineStr">
        <is>
          <t>Supervision — humans in the loop</t>
        </is>
      </c>
      <c r="B11" s="82" t="inlineStr">
        <is>
          <t>€ / yr</t>
        </is>
      </c>
      <c r="C11" s="138">
        <f>Inputs!C52*Inputs!C53</f>
        <v/>
      </c>
      <c r="D11" s="138">
        <f>Inputs!D52*Inputs!D53</f>
        <v/>
      </c>
      <c r="E11" s="138">
        <f>Inputs!E52*Inputs!E53</f>
        <v/>
      </c>
      <c r="F11" s="85" t="inlineStr">
        <is>
          <t>FTE × cost per FTE</t>
        </is>
      </c>
    </row>
    <row r="12" ht="15" customHeight="1" s="68">
      <c r="A12" s="82" t="inlineStr">
        <is>
          <t>Monitoring and on-call</t>
        </is>
      </c>
      <c r="B12" s="82" t="inlineStr">
        <is>
          <t>€ / yr</t>
        </is>
      </c>
      <c r="C12" s="138">
        <f>Inputs!C54</f>
        <v/>
      </c>
      <c r="D12" s="138">
        <f>Inputs!D54</f>
        <v/>
      </c>
      <c r="E12" s="138">
        <f>Inputs!E54</f>
        <v/>
      </c>
      <c r="F12" s="85" t="n"/>
    </row>
    <row r="13" ht="15" customHeight="1" s="68">
      <c r="A13" s="82" t="inlineStr">
        <is>
          <t>Re-evaluation at model changes</t>
        </is>
      </c>
      <c r="B13" s="82" t="inlineStr">
        <is>
          <t>€ / yr</t>
        </is>
      </c>
      <c r="C13" s="138">
        <f>Inputs!C55*Inputs!C56</f>
        <v/>
      </c>
      <c r="D13" s="138">
        <f>Inputs!D55*Inputs!D56</f>
        <v/>
      </c>
      <c r="E13" s="138">
        <f>Inputs!E55*Inputs!E56</f>
        <v/>
      </c>
      <c r="F13" s="85" t="inlineStr">
        <is>
          <t>changes per year × cost per change</t>
        </is>
      </c>
    </row>
    <row r="14" ht="15" customHeight="1" s="68">
      <c r="A14" s="87" t="inlineStr">
        <is>
          <t>Total fixed and semi-fixed</t>
        </is>
      </c>
      <c r="B14" s="82" t="inlineStr">
        <is>
          <t>€ / yr</t>
        </is>
      </c>
      <c r="C14" s="136">
        <f>SUM(C9:C13)</f>
        <v/>
      </c>
      <c r="D14" s="136">
        <f>SUM(D9:D13)</f>
        <v/>
      </c>
      <c r="E14" s="136">
        <f>SUM(E9:E13)</f>
        <v/>
      </c>
      <c r="F14" s="85" t="n"/>
    </row>
    <row r="16" ht="15" customHeight="1" s="68">
      <c r="A16" s="81" t="inlineStr">
        <is>
          <t>NET ANNUAL VALUE AND EXPECTED VALUE</t>
        </is>
      </c>
    </row>
    <row r="17" ht="15" customHeight="1" s="68">
      <c r="A17" s="87" t="inlineStr">
        <is>
          <t>Net annual value of the project, year 1</t>
        </is>
      </c>
      <c r="B17" s="82" t="inlineStr">
        <is>
          <t>€ / yr</t>
        </is>
      </c>
      <c r="C17" s="136">
        <f>C6-C14</f>
        <v/>
      </c>
      <c r="D17" s="136">
        <f>D6-D14</f>
        <v/>
      </c>
      <c r="E17" s="136">
        <f>E6-E14</f>
        <v/>
      </c>
      <c r="F17" s="85" t="inlineStr">
        <is>
          <t>net variable contribution − fixed costs</t>
        </is>
      </c>
    </row>
    <row r="18" ht="15" customHeight="1" s="68">
      <c r="A18" s="82" t="inlineStr">
        <is>
          <t>Scenario probability</t>
        </is>
      </c>
      <c r="B18" s="82" t="inlineStr">
        <is>
          <t>p</t>
        </is>
      </c>
      <c r="C18" s="139">
        <f>Inputs!C63</f>
        <v/>
      </c>
      <c r="D18" s="139">
        <f>Inputs!D63</f>
        <v/>
      </c>
      <c r="E18" s="139">
        <f>Inputs!E63</f>
        <v/>
      </c>
      <c r="F18" s="85" t="inlineStr">
        <is>
          <t>from Inputs</t>
        </is>
      </c>
    </row>
    <row r="19" ht="15" customHeight="1" s="68">
      <c r="A19" s="87" t="inlineStr">
        <is>
          <t>Expected value (Σ p × net value)</t>
        </is>
      </c>
      <c r="B19" s="67" t="inlineStr">
        <is>
          <t>€ / yr</t>
        </is>
      </c>
      <c r="D19" s="140">
        <f>SUMPRODUCT(C17:E17,C18:E18)</f>
        <v/>
      </c>
      <c r="F19" s="91" t="inlineStr">
        <is>
          <t>the single number — but read the three above it first</t>
        </is>
      </c>
    </row>
    <row r="21" ht="15" customHeight="1" s="68">
      <c r="A21" s="81" t="inlineStr">
        <is>
          <t>THE TWO COMPARISONS</t>
        </is>
      </c>
    </row>
    <row r="22" ht="15" customHeight="1" s="68">
      <c r="A22" s="82" t="inlineStr">
        <is>
          <t>Do-nothing: value of the current process improving on its own</t>
        </is>
      </c>
      <c r="B22" s="82" t="inlineStr">
        <is>
          <t>€ / yr</t>
        </is>
      </c>
      <c r="C22" s="138">
        <f>Inputs!C59*Inputs!C6*12*Inputs!C9</f>
        <v/>
      </c>
      <c r="D22" s="138">
        <f>Inputs!D59*Inputs!D6*12*Inputs!D9</f>
        <v/>
      </c>
      <c r="E22" s="138">
        <f>Inputs!E59*Inputs!E6*12*Inputs!E9</f>
        <v/>
      </c>
      <c r="F22" s="85" t="inlineStr">
        <is>
          <t>efficiency gain × annual tickets × cost per ticket — not zero</t>
        </is>
      </c>
    </row>
    <row r="23" ht="15" customHeight="1" s="68">
      <c r="A23" s="82" t="inlineStr">
        <is>
          <t>Next-best project (the hurdle)</t>
        </is>
      </c>
      <c r="B23" s="82" t="inlineStr">
        <is>
          <t>€ / yr</t>
        </is>
      </c>
      <c r="C23" s="138">
        <f>Inputs!C60</f>
        <v/>
      </c>
      <c r="D23" s="138">
        <f>Inputs!D60</f>
        <v/>
      </c>
      <c r="E23" s="138">
        <f>Inputs!E60</f>
        <v/>
      </c>
      <c r="F23" s="85" t="inlineStr">
        <is>
          <t>from Inputs</t>
        </is>
      </c>
    </row>
    <row r="24" ht="15" customHeight="1" s="68">
      <c r="A24" s="82" t="inlineStr">
        <is>
          <t>EV minus do-nothing</t>
        </is>
      </c>
      <c r="B24" s="67" t="inlineStr">
        <is>
          <t>€ / yr</t>
        </is>
      </c>
      <c r="D24" s="135">
        <f>D19-D22</f>
        <v/>
      </c>
    </row>
    <row r="25" ht="15" customHeight="1" s="68">
      <c r="A25" s="82" t="inlineStr">
        <is>
          <t>EV minus hurdle</t>
        </is>
      </c>
      <c r="B25" s="67" t="inlineStr">
        <is>
          <t>€ / yr</t>
        </is>
      </c>
      <c r="D25" s="135">
        <f>D19-D23</f>
        <v/>
      </c>
    </row>
    <row r="26" ht="15" customHeight="1" s="68">
      <c r="A26" s="82" t="inlineStr">
        <is>
          <t>Pessimistic case clears the hurdle?</t>
        </is>
      </c>
      <c r="D26" s="141">
        <f>IF(C17&gt;=C23,"yes","no")</f>
        <v/>
      </c>
    </row>
    <row r="27" ht="31.5" customHeight="1" s="68">
      <c r="A27" s="87" t="inlineStr">
        <is>
          <t>Decision (formula — you still write the memo)</t>
        </is>
      </c>
      <c r="D27" s="142">
        <f>IF(Inputs!D6="","— fill in the Inputs tab first —",IF(ABS(Inputs!D64-1)&gt;0.001,"— scenario probabilities must sum to 1 —",IF(D19&lt;D22,"NO-GO — does not beat do-nothing",IF(D19&lt;D23,"NO-GO — does not beat the next-best project",IF(C17&lt;D23,"CONDITIONAL GO — EV clears the hurdle, the pessimistic case does not: test the deflection assumption first","GO")))))</f>
        <v/>
      </c>
    </row>
    <row r="29" ht="15" customHeight="1" s="68">
      <c r="A29" s="81" t="inlineStr">
        <is>
          <t>SENSITIVITY — the assumption that flips the decision</t>
        </is>
      </c>
    </row>
    <row r="30" ht="15" customHeight="1" s="68">
      <c r="A30" s="131" t="inlineStr">
        <is>
          <t>Base case, varying the total share of handling time saved (all categories). Everything else at Base; error and AI cost are per ticket handled, so they do not move.</t>
        </is>
      </c>
    </row>
    <row r="31" ht="27.75" customHeight="1" s="68">
      <c r="A31" s="79" t="inlineStr">
        <is>
          <t>Total time saved (share of handling time)</t>
        </is>
      </c>
      <c r="B31" s="79" t="n"/>
      <c r="C31" s="79" t="inlineStr">
        <is>
          <t>Net annual value</t>
        </is>
      </c>
      <c r="D31" s="79" t="inlineStr">
        <is>
          <t>vs hurdle</t>
        </is>
      </c>
      <c r="E31" s="79" t="inlineStr">
        <is>
          <t>vs do-nothing</t>
        </is>
      </c>
      <c r="F31" s="79" t="inlineStr">
        <is>
          <t>Reading</t>
        </is>
      </c>
    </row>
    <row r="32" ht="15" customHeight="1" s="68">
      <c r="A32" s="143" t="n">
        <v>0.1</v>
      </c>
      <c r="C32" s="135">
        <f>Inputs!D6*12*Upside!D$5*A32*Inputs!D$9-Upside!D40-Upside!D41-D14+N(Inputs!$D$67)+N(Inputs!$D$68)</f>
        <v/>
      </c>
      <c r="D32" s="135">
        <f>C32-D23</f>
        <v/>
      </c>
      <c r="E32" s="135">
        <f>C32-D22</f>
        <v/>
      </c>
      <c r="F32" s="82">
        <f>IF(Inputs!D6="","",IF(C32&lt;D22,"below do-nothing",IF(C32&lt;D23,"below the hurdle — the next-best project wins","clears the hurdle")))</f>
        <v/>
      </c>
    </row>
    <row r="33" ht="15" customHeight="1" s="68">
      <c r="A33" s="143" t="n">
        <v>0.15</v>
      </c>
      <c r="C33" s="135">
        <f>Inputs!D6*12*Upside!D$5*A33*Inputs!D$9-Upside!D40-Upside!D41-D14+N(Inputs!$D$67)+N(Inputs!$D$68)</f>
        <v/>
      </c>
      <c r="D33" s="135">
        <f>C33-D23</f>
        <v/>
      </c>
      <c r="E33" s="135">
        <f>C33-D22</f>
        <v/>
      </c>
      <c r="F33" s="82">
        <f>IF(Inputs!D6="","",IF(C33&lt;D22,"below do-nothing",IF(C33&lt;D23,"below the hurdle — the next-best project wins","clears the hurdle")))</f>
        <v/>
      </c>
    </row>
    <row r="34" ht="15" customHeight="1" s="68">
      <c r="A34" s="143" t="n">
        <v>0.2</v>
      </c>
      <c r="C34" s="135">
        <f>Inputs!D6*12*Upside!D$5*A34*Inputs!D$9-Upside!D40-Upside!D41-D14+N(Inputs!$D$67)+N(Inputs!$D$68)</f>
        <v/>
      </c>
      <c r="D34" s="135">
        <f>C34-D23</f>
        <v/>
      </c>
      <c r="E34" s="135">
        <f>C34-D22</f>
        <v/>
      </c>
      <c r="F34" s="82">
        <f>IF(Inputs!D6="","",IF(C34&lt;D22,"below do-nothing",IF(C34&lt;D23,"below the hurdle — the next-best project wins","clears the hurdle")))</f>
        <v/>
      </c>
    </row>
    <row r="35" ht="15" customHeight="1" s="68">
      <c r="A35" s="143" t="n">
        <v>0.25</v>
      </c>
      <c r="C35" s="135">
        <f>Inputs!D6*12*Upside!D$5*A35*Inputs!D$9-Upside!D40-Upside!D41-D14+N(Inputs!$D$67)+N(Inputs!$D$68)</f>
        <v/>
      </c>
      <c r="D35" s="135">
        <f>C35-D23</f>
        <v/>
      </c>
      <c r="E35" s="135">
        <f>C35-D22</f>
        <v/>
      </c>
      <c r="F35" s="82">
        <f>IF(Inputs!D6="","",IF(C35&lt;D22,"below do-nothing",IF(C35&lt;D23,"below the hurdle — the next-best project wins","clears the hurdle")))</f>
        <v/>
      </c>
    </row>
    <row r="36" ht="15" customHeight="1" s="68">
      <c r="A36" s="143" t="n">
        <v>0.3</v>
      </c>
      <c r="C36" s="135">
        <f>Inputs!D6*12*Upside!D$5*A36*Inputs!D$9-Upside!D40-Upside!D41-D14+N(Inputs!$D$67)+N(Inputs!$D$68)</f>
        <v/>
      </c>
      <c r="D36" s="135">
        <f>C36-D23</f>
        <v/>
      </c>
      <c r="E36" s="135">
        <f>C36-D22</f>
        <v/>
      </c>
      <c r="F36" s="82">
        <f>IF(Inputs!D6="","",IF(C36&lt;D22,"below do-nothing",IF(C36&lt;D23,"below the hurdle — the next-best project wins","clears the hurdle")))</f>
        <v/>
      </c>
    </row>
    <row r="38" ht="27.75" customHeight="1" s="68">
      <c r="A38" s="131" t="inlineStr">
        <is>
          <t>Read down the table: the time-saved share at which the reading changes is the flip point. Name it in the memo - the S4 prototype and S6 A/B must measure it.</t>
        </is>
      </c>
    </row>
  </sheetData>
  <mergeCells count="2">
    <mergeCell ref="A38:F38"/>
    <mergeCell ref="D27:F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67" min="1" max="1"/>
    <col width="70" customWidth="1" style="67" min="2" max="2"/>
    <col width="11" customWidth="1" style="67" min="3" max="5"/>
    <col width="13" customWidth="1" style="67" min="6" max="6"/>
    <col width="60" customWidth="1" style="67" min="7" max="7"/>
  </cols>
  <sheetData>
    <row r="1" ht="17.25" customHeight="1" s="68">
      <c r="A1" s="77" t="inlineStr">
        <is>
          <t>02_sizing — your agent · Build, buy or orchestrate?</t>
        </is>
      </c>
      <c r="B1" s="144" t="n"/>
      <c r="C1" s="144" t="n"/>
      <c r="D1" s="144" t="n"/>
      <c r="E1" s="144" t="n"/>
      <c r="F1" s="144" t="n"/>
      <c r="G1" s="144" t="n"/>
    </row>
    <row r="2" ht="31.5" customHeight="1" s="68">
      <c r="A2" s="76" t="inlineStr">
        <is>
          <t>Score each option from 1 (bad) to 5 (good) on each question, weight what matters to your company (weights sum to 100 %). Then write one line in the memo — “We orchestrate because…” — and the condition that would change it. See the build / buy / orchestrate slides of Session 2 (39–40).</t>
        </is>
      </c>
    </row>
    <row r="3" ht="15" customHeight="1" s="68">
      <c r="A3" s="144" t="n"/>
      <c r="B3" s="144" t="n"/>
      <c r="C3" s="144" t="n"/>
      <c r="D3" s="144" t="n"/>
      <c r="E3" s="144" t="n"/>
      <c r="F3" s="144" t="n"/>
      <c r="G3" s="144" t="n"/>
    </row>
    <row r="4" ht="15" customHeight="1" s="68">
      <c r="A4" s="145" t="inlineStr">
        <is>
          <t>#</t>
        </is>
      </c>
      <c r="B4" s="145" t="inlineStr">
        <is>
          <t>Question</t>
        </is>
      </c>
      <c r="C4" s="145" t="inlineStr">
        <is>
          <t>Weight</t>
        </is>
      </c>
      <c r="D4" s="145" t="inlineStr">
        <is>
          <t>Build</t>
        </is>
      </c>
      <c r="E4" s="145" t="inlineStr">
        <is>
          <t>Buy</t>
        </is>
      </c>
      <c r="F4" s="145" t="inlineStr">
        <is>
          <t>Orchestrate</t>
        </is>
      </c>
      <c r="G4" s="145" t="inlineStr">
        <is>
          <t>Why — one line per score that is not obvious</t>
        </is>
      </c>
    </row>
    <row r="5" ht="30" customHeight="1" s="68">
      <c r="A5" s="146" t="inlineStr">
        <is>
          <t>01</t>
        </is>
      </c>
      <c r="B5" s="147" t="inlineStr">
        <is>
          <t>Strategy — Is it our edge? Would a competitor buying the same tool erase our advantage?</t>
        </is>
      </c>
      <c r="C5" s="148" t="n">
        <v>0.08</v>
      </c>
      <c r="D5" s="149" t="n">
        <v>4</v>
      </c>
      <c r="E5" s="149" t="n">
        <v>2</v>
      </c>
      <c r="F5" s="149" t="n">
        <v>4</v>
      </c>
      <c r="G5" s="150" t="inlineStr">
        <is>
          <t>Routing and drafting on our ledger and dispute rules are the edge; a generic vendor copilot is not.</t>
        </is>
      </c>
    </row>
    <row r="6" ht="30" customHeight="1" s="68">
      <c r="A6" s="146" t="inlineStr">
        <is>
          <t>02</t>
        </is>
      </c>
      <c r="B6" s="147" t="inlineStr">
        <is>
          <t>Strategy — Do we own data or know-how that no vendor has?</t>
        </is>
      </c>
      <c r="C6" s="148" t="n">
        <v>0.12</v>
      </c>
      <c r="D6" s="149" t="n">
        <v>5</v>
      </c>
      <c r="E6" s="149" t="n">
        <v>2</v>
      </c>
      <c r="F6" s="149" t="n">
        <v>5</v>
      </c>
      <c r="G6" s="150" t="inlineStr">
        <is>
          <t>Ledger, dispute history and desk policies are ours.</t>
        </is>
      </c>
    </row>
    <row r="7" ht="30" customHeight="1" s="68">
      <c r="A7" s="146" t="inlineStr">
        <is>
          <t>03</t>
        </is>
      </c>
      <c r="B7" s="147" t="inlineStr">
        <is>
          <t>Fit &amp; speed — Does a product already do 80 % of the job — our languages, channels, integrations?</t>
        </is>
      </c>
      <c r="C7" s="148" t="n">
        <v>0.1</v>
      </c>
      <c r="D7" s="149" t="n">
        <v>2</v>
      </c>
      <c r="E7" s="149" t="n">
        <v>4</v>
      </c>
      <c r="F7" s="149" t="n">
        <v>3</v>
      </c>
      <c r="G7" s="150" t="inlineStr">
        <is>
          <t>Vendor copilots summarise and draft but do not read our ledger or route by our desk rules out of the box.</t>
        </is>
      </c>
    </row>
    <row r="8" ht="30" customHeight="1" s="68">
      <c r="A8" s="146" t="inlineStr">
        <is>
          <t>04</t>
        </is>
      </c>
      <c r="B8" s="147" t="inlineStr">
        <is>
          <t>Fit &amp; speed — Must it be live in weeks, or can it take quarters?</t>
        </is>
      </c>
      <c r="C8" s="148" t="n">
        <v>0.08</v>
      </c>
      <c r="D8" s="149" t="n">
        <v>1</v>
      </c>
      <c r="E8" s="149" t="n">
        <v>5</v>
      </c>
      <c r="F8" s="149" t="n">
        <v>3</v>
      </c>
      <c r="G8" s="150" t="inlineStr">
        <is>
          <t>Build takes quarters; a vendor is weeks.</t>
        </is>
      </c>
    </row>
    <row r="9" ht="30" customHeight="1" s="68">
      <c r="A9" s="146" t="inlineStr">
        <is>
          <t>05</t>
        </is>
      </c>
      <c r="B9" s="147" t="inlineStr">
        <is>
          <t>Fit &amp; speed — Do we have the people to build it and to run it — evals, on-call, re-evaluation?</t>
        </is>
      </c>
      <c r="C9" s="148" t="n">
        <v>0.08</v>
      </c>
      <c r="D9" s="149" t="n">
        <v>2</v>
      </c>
      <c r="E9" s="149" t="n">
        <v>4</v>
      </c>
      <c r="F9" s="149" t="n">
        <v>3</v>
      </c>
      <c r="G9" s="150" t="inlineStr">
        <is>
          <t>We have no ML-ops team; orchestrating managed pieces lowers the run burden.</t>
        </is>
      </c>
    </row>
    <row r="10" ht="30" customHeight="1" s="68">
      <c r="A10" s="146" t="inlineStr">
        <is>
          <t>06</t>
        </is>
      </c>
      <c r="B10" s="147" t="inlineStr">
        <is>
          <t>Money — 3-year total cost: fees per resolution or per seat vs the seven cost lines of a build</t>
        </is>
      </c>
      <c r="C10" s="148" t="n">
        <v>0.12</v>
      </c>
      <c r="D10" s="149" t="n">
        <v>2</v>
      </c>
      <c r="E10" s="149" t="n">
        <v>4</v>
      </c>
      <c r="F10" s="149" t="n">
        <v>3</v>
      </c>
      <c r="G10" s="150" t="inlineStr">
        <is>
          <t>At ~25 seats a vendor is cheap; the build carries the fixed lines of the Decision tab.</t>
        </is>
      </c>
    </row>
    <row r="11" ht="30" customHeight="1" s="68">
      <c r="A11" s="146" t="inlineStr">
        <is>
          <t>07</t>
        </is>
      </c>
      <c r="B11" s="147" t="inlineStr">
        <is>
          <t>Money — At what volume does per-resolution pricing cost more than building? (break-even below)</t>
        </is>
      </c>
      <c r="C11" s="148" t="n">
        <v>0.08</v>
      </c>
      <c r="D11" s="149" t="n">
        <v>3</v>
      </c>
      <c r="E11" s="149" t="n">
        <v>4</v>
      </c>
      <c r="F11" s="149" t="n">
        <v>3</v>
      </c>
      <c r="G11" s="150" t="inlineStr">
        <is>
          <t>See break-even below.</t>
        </is>
      </c>
    </row>
    <row r="12" ht="30" customHeight="1" s="68">
      <c r="A12" s="146" t="inlineStr">
        <is>
          <t>08</t>
        </is>
      </c>
      <c r="B12" s="147" t="inlineStr">
        <is>
          <t>Risk &amp; control — Where does our data go — GDPR, residency, may the vendor train on it?</t>
        </is>
      </c>
      <c r="C12" s="148" t="n">
        <v>0.14</v>
      </c>
      <c r="D12" s="149" t="n">
        <v>5</v>
      </c>
      <c r="E12" s="149" t="n">
        <v>2</v>
      </c>
      <c r="F12" s="149" t="n">
        <v>4</v>
      </c>
      <c r="G12" s="150" t="inlineStr">
        <is>
          <t>Self-hosted keeps tickets in-house; a vendor needs EU residency and a no-training DPA to match.</t>
        </is>
      </c>
    </row>
    <row r="13" ht="30" customHeight="1" s="68">
      <c r="A13" s="146" t="inlineStr">
        <is>
          <t>09</t>
        </is>
      </c>
      <c r="B13" s="147" t="inlineStr">
        <is>
          <t>Risk &amp; control — Can we leave — exit clause, export of data, prompts and eval-sets?</t>
        </is>
      </c>
      <c r="C13" s="148" t="n">
        <v>0.08</v>
      </c>
      <c r="D13" s="149" t="n">
        <v>5</v>
      </c>
      <c r="E13" s="149" t="n">
        <v>2</v>
      </c>
      <c r="F13" s="149" t="n">
        <v>4</v>
      </c>
      <c r="G13" s="150" t="inlineStr">
        <is>
          <t>Exit: we keep prompts, gold set and model; a vendor locks the workflow.</t>
        </is>
      </c>
    </row>
    <row r="14" ht="30" customHeight="1" s="68">
      <c r="A14" s="146" t="inlineStr">
        <is>
          <t>10</t>
        </is>
      </c>
      <c r="B14" s="147" t="inlineStr">
        <is>
          <t>Risk &amp; control — Who is liable when it is wrong, and can we see why it answered — logs, evals?</t>
        </is>
      </c>
      <c r="C14" s="148" t="n">
        <v>0.12</v>
      </c>
      <c r="D14" s="149" t="n">
        <v>5</v>
      </c>
      <c r="E14" s="149" t="n">
        <v>2</v>
      </c>
      <c r="F14" s="149" t="n">
        <v>4</v>
      </c>
      <c r="G14" s="150" t="inlineStr">
        <is>
          <t>Own logs and evals vs vendor black box; liability stays with Keelpay either way.</t>
        </is>
      </c>
    </row>
    <row r="15" ht="15" customHeight="1" s="68">
      <c r="A15" s="144" t="n"/>
      <c r="B15" s="144" t="n"/>
      <c r="C15" s="144" t="n"/>
      <c r="D15" s="144" t="n"/>
      <c r="E15" s="144" t="n"/>
      <c r="F15" s="144" t="n"/>
      <c r="G15" s="144" t="n"/>
    </row>
    <row r="16" ht="15" customHeight="1" s="68">
      <c r="A16" s="144" t="n"/>
      <c r="B16" s="109" t="inlineStr">
        <is>
          <t>Weights must sum to 100 %</t>
        </is>
      </c>
      <c r="C16" s="151">
        <f>SUM(C5:C14)</f>
        <v/>
      </c>
      <c r="D16" s="144" t="n"/>
      <c r="E16" s="144" t="n"/>
      <c r="F16" s="144" t="n"/>
      <c r="G16" s="144" t="n"/>
    </row>
    <row r="17" ht="15" customHeight="1" s="68">
      <c r="A17" s="144" t="n"/>
      <c r="B17" s="152" t="inlineStr">
        <is>
          <t>Weighted score (1–5)</t>
        </is>
      </c>
      <c r="C17" s="144" t="n"/>
      <c r="D17" s="153">
        <f>IFERROR(IF(COUNT(D5:D14)=0,"",SUMPRODUCT($C$5:$C$14,D5:D14)/SUM($C$5:$C$14)),"")</f>
        <v/>
      </c>
      <c r="E17" s="153">
        <f>IFERROR(IF(COUNT(E5:E14)=0,"",SUMPRODUCT($C$5:$C$14,E5:E14)/SUM($C$5:$C$14)),"")</f>
        <v/>
      </c>
      <c r="F17" s="153">
        <f>IFERROR(IF(COUNT(F5:F14)=0,"",SUMPRODUCT($C$5:$C$14,F5:F14)/SUM($C$5:$C$14)),"")</f>
        <v/>
      </c>
      <c r="G17" s="144" t="n"/>
    </row>
    <row r="18" ht="15" customHeight="1" s="68">
      <c r="A18" s="144" t="n"/>
      <c r="B18" s="152" t="inlineStr">
        <is>
          <t>Highest weighted score</t>
        </is>
      </c>
      <c r="C18" s="144" t="n"/>
      <c r="D18" s="81">
        <f>IF(COUNT(D17:F17)=0,"— score the three options —",IF(ABS(C16-1)&gt;0.001,"— weights must sum to 100 % —",INDEX($D$4:$F$4,MATCH(MAX(D17:F17),D17:F17,0))))</f>
        <v/>
      </c>
      <c r="E18" s="144" t="n"/>
      <c r="F18" s="144" t="n"/>
      <c r="G18" s="109" t="inlineStr">
        <is>
          <t>The score informs the decision; the memo makes it. If two options are within 0.3, say which condition would decide.</t>
        </is>
      </c>
    </row>
    <row r="19" ht="15" customHeight="1" s="68">
      <c r="A19" s="144" t="n"/>
      <c r="B19" s="144" t="n"/>
      <c r="C19" s="144" t="n"/>
      <c r="D19" s="144" t="n"/>
      <c r="E19" s="144" t="n"/>
      <c r="F19" s="144" t="n"/>
      <c r="G19" s="144" t="n"/>
    </row>
    <row r="20" ht="15" customHeight="1" s="68">
      <c r="A20" s="144" t="n"/>
      <c r="B20" s="144" t="n"/>
      <c r="C20" s="144" t="n"/>
      <c r="D20" s="144" t="n"/>
      <c r="E20" s="144" t="n"/>
      <c r="F20" s="144" t="n"/>
      <c r="G20" s="144" t="n"/>
    </row>
    <row r="21" ht="15" customHeight="1" s="68">
      <c r="A21" s="81" t="inlineStr">
        <is>
          <t>BREAK-EVEN — buying per resolution vs running it yourself (base case, rough)</t>
        </is>
      </c>
      <c r="B21" s="144" t="n"/>
      <c r="C21" s="144" t="n"/>
      <c r="D21" s="144" t="n"/>
      <c r="E21" s="144" t="n"/>
      <c r="F21" s="144" t="n"/>
      <c r="G21" s="144" t="n"/>
    </row>
    <row r="22" ht="15" customHeight="1" s="68">
      <c r="A22" s="144" t="n"/>
      <c r="B22" s="154" t="inlineStr">
        <is>
          <t>Vendor price per resolution</t>
        </is>
      </c>
      <c r="C22" s="144" t="n"/>
      <c r="D22" s="155">
        <f>25*45*12/Upside!D38</f>
        <v/>
      </c>
      <c r="E22" s="156" t="inlineStr">
        <is>
          <t>EUR / resolution</t>
        </is>
      </c>
      <c r="F22" s="144" t="n"/>
      <c r="G22" s="109" t="inlineStr">
        <is>
          <t>Per-seat pricing expressed per time-saved-equivalent ticket: 25 seats x about EUR 45 a month (guess; vendor copilots are priced per seat; template tip: Intercom Fin listed $0.99 per resolution in 2025). Recheck the vendor price.</t>
        </is>
      </c>
    </row>
    <row r="23" ht="15" customHeight="1" s="68">
      <c r="A23" s="144" t="n"/>
      <c r="B23" s="154" t="inlineStr">
        <is>
          <t>Tickets deflected in year 1 (base)</t>
        </is>
      </c>
      <c r="C23" s="144" t="n"/>
      <c r="D23" s="157">
        <f>Upside!D38</f>
        <v/>
      </c>
      <c r="E23" s="156" t="inlineStr">
        <is>
          <t>tickets / yr</t>
        </is>
      </c>
      <c r="F23" s="144" t="n"/>
      <c r="G23" s="109" t="inlineStr">
        <is>
          <t>from Upside</t>
        </is>
      </c>
    </row>
    <row r="24" ht="15" customHeight="1" s="68">
      <c r="A24" s="144" t="n"/>
      <c r="B24" s="152" t="inlineStr">
        <is>
          <t>Annual vendor fees</t>
        </is>
      </c>
      <c r="C24" s="144" t="n"/>
      <c r="D24" s="158">
        <f>IFERROR(D22*D23,0)</f>
        <v/>
      </c>
      <c r="E24" s="156" t="inlineStr">
        <is>
          <t>€ / yr</t>
        </is>
      </c>
      <c r="F24" s="144" t="n"/>
      <c r="G24" s="109" t="inlineStr">
        <is>
          <t>price × resolutions</t>
        </is>
      </c>
    </row>
    <row r="25" ht="15" customHeight="1" s="68">
      <c r="A25" s="144" t="n"/>
      <c r="B25" s="154" t="inlineStr">
        <is>
          <t>Your own AI handling cost (tokens, retries)</t>
        </is>
      </c>
      <c r="C25" s="144" t="n"/>
      <c r="D25" s="157">
        <f>Upside!D41</f>
        <v/>
      </c>
      <c r="E25" s="156" t="inlineStr">
        <is>
          <t>€ / yr</t>
        </is>
      </c>
      <c r="F25" s="144" t="n"/>
      <c r="G25" s="109" t="inlineStr">
        <is>
          <t>from Upside</t>
        </is>
      </c>
    </row>
    <row r="26" ht="15" customHeight="1" s="68">
      <c r="A26" s="144" t="n"/>
      <c r="B26" s="154" t="inlineStr">
        <is>
          <t>Integration (amortised) + evaluation + re-evaluation</t>
        </is>
      </c>
      <c r="C26" s="144" t="n"/>
      <c r="D26" s="157">
        <f>Decision!D9+Decision!D10+Decision!D13</f>
        <v/>
      </c>
      <c r="E26" s="156" t="inlineStr">
        <is>
          <t>€ / yr</t>
        </is>
      </c>
      <c r="F26" s="144" t="n"/>
      <c r="G26" s="109" t="inlineStr">
        <is>
          <t>from Decision — the build-specific fixed lines</t>
        </is>
      </c>
    </row>
    <row r="27" ht="15" customHeight="1" s="68">
      <c r="A27" s="144" t="n"/>
      <c r="B27" s="152" t="inlineStr">
        <is>
          <t>Running it yourself — comparable cost</t>
        </is>
      </c>
      <c r="C27" s="144" t="n"/>
      <c r="D27" s="158">
        <f>D25+D26</f>
        <v/>
      </c>
      <c r="E27" s="156" t="inlineStr">
        <is>
          <t>€ / yr</t>
        </is>
      </c>
      <c r="F27" s="144" t="n"/>
      <c r="G27" s="109" t="inlineStr">
        <is>
          <t>supervision and monitoring stay in both options, so they are left out</t>
        </is>
      </c>
    </row>
    <row r="28" ht="15" customHeight="1" s="68">
      <c r="A28" s="144" t="n"/>
      <c r="B28" s="152" t="inlineStr">
        <is>
          <t>Buying is cheaper by</t>
        </is>
      </c>
      <c r="C28" s="144" t="n"/>
      <c r="D28" s="158">
        <f>D27-D24</f>
        <v/>
      </c>
      <c r="E28" s="156" t="inlineStr">
        <is>
          <t>€ / yr</t>
        </is>
      </c>
      <c r="F28" s="144" t="n"/>
      <c r="G28" s="109" t="inlineStr">
        <is>
          <t>negative = running it yourself is cheaper at this volume</t>
        </is>
      </c>
    </row>
    <row r="29" ht="15" customHeight="1" s="68">
      <c r="A29" s="144" t="n"/>
      <c r="B29" s="144" t="n"/>
      <c r="C29" s="144" t="n"/>
      <c r="D29" s="144" t="n"/>
      <c r="E29" s="144" t="n"/>
      <c r="F29" s="144" t="n"/>
      <c r="G29" s="144" t="n"/>
    </row>
  </sheetData>
  <mergeCells count="1">
    <mergeCell ref="A2:G2"/>
  </mergeCells>
  <dataValidations count="1">
    <dataValidation sqref="D5:F14" showDropDown="0" showInputMessage="0" showErrorMessage="0" allowBlank="1" errorTitle="1 to 5" error="Score from 1 to 5" type="whole" errorStyle="stop" operator="between">
      <formula1>1</formula1>
      <formula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2026-09-30T14:11:07Z</dcterms:created>
  <dcterms:modified xmlns:dcterms="http://purl.org/dc/terms/" xmlns:xsi="http://www.w3.org/2001/XMLSchema-instance" xsi:type="dcterms:W3CDTF">2026-10-30T22:28:33Z</dcterms:modified>
  <cp:revision>0</cp:revision>
</cp:coreProperties>
</file>