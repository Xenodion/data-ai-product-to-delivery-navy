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sign up" sheetId="1" r:id="rId4"/>
    <sheet state="visible" name="Projects" sheetId="2" r:id="rId5"/>
    <sheet state="visible" name="INTER-1 Teams" sheetId="3" r:id="rId6"/>
    <sheet state="visible" name="INTER-1 Students" sheetId="4" r:id="rId7"/>
    <sheet state="visible" name="INTER-2 Teams" sheetId="5" r:id="rId8"/>
    <sheet state="visible" name="INTER-2 Students" sheetId="6" r:id="rId9"/>
    <sheet state="visible" name="Overview" sheetId="7" r:id="rId10"/>
  </sheets>
  <definedNames/>
  <calcPr/>
  <extLst>
    <ext uri="GoogleSheetsCustomDataVersion2">
      <go:sheetsCustomData xmlns:go="http://customooxmlschemas.google.com/" r:id="rId11" roundtripDataChecksum="f9FfTkJSdgDsTnf38YQdm+ecAHiwh8X8xwwgD+aZZt8="/>
    </ext>
  </extLst>
</workbook>
</file>

<file path=xl/sharedStrings.xml><?xml version="1.0" encoding="utf-8"?>
<sst xmlns="http://schemas.openxmlformats.org/spreadsheetml/2006/main" count="396" uniqueCount="326">
  <si>
    <t>Project sign-up — Data &amp; AI Product (MSA-DAT07-04) · Albert School</t>
  </si>
  <si>
    <t>Shared project with Agentic Workflows · teams of 4–5 · same team and same agent in both courses</t>
  </si>
  <si>
    <t>What is “the project”?</t>
  </si>
  <si>
    <t>Your team's project for the whole course: an AI customer-support agent for a B2B software (SaaS) company, the same agent and the same team as in Agentic Workflows. There you build and test it; here you decide whether it should ship, and you pitch it at the final oral. You start from one of eight proposals (P1–P8, Projects tab) or bring your own idea.</t>
  </si>
  <si>
    <t>1. Find your cohort's two tabs</t>
  </si>
  <si>
    <t>INTER-1 Teams + INTER-1 Students, or INTER-2 Teams + INTER-2 Students. Do not write in the other cohort's tabs.</t>
  </si>
  <si>
    <t>2. One student per team fills in the team row</t>
  </si>
  <si>
    <t>In your cohort's Teams tab: team name, project (drop-down list), contact person, repository link. Pick a free team number — do not overwrite another team.</t>
  </si>
  <si>
    <t>3. Choose your project</t>
  </si>
  <si>
    <t>One of the eight proposals P1–P8 (details in the Projects tab and in the project document), or “Own project”. For your own project, write the agent's job in one sentence — “When [trigger], the agent [does], producing [outcome]” — and commit 00_pitch.md before Session 3.</t>
  </si>
  <si>
    <t>4. Every student fills in their own row</t>
  </si>
  <si>
    <t>In your cohort's Students tab: name, school email, Git handle and team number. The project appears automatically from your team's row.</t>
  </si>
  <si>
    <t>5. Check the counters</t>
  </si>
  <si>
    <t>Your team must have 4 or 5 members (the Members cell turns green). A proposal chosen by more teams than the limit in the Overview tab is highlighted — talk to the teacher before keeping it.</t>
  </si>
  <si>
    <t>Deadline</t>
  </si>
  <si>
    <t>Before Session 3 — Friday 16 October 2026. The team and the agent must be the same as in Agentic Workflows.</t>
  </si>
  <si>
    <t>Yellow cells = to fill in · grey cells = calculated automatically, do not type in them.</t>
  </si>
  <si>
    <t>The eight proposals — or your own</t>
  </si>
  <si>
    <t>Full details, numbers and the bring-your-own checklist are in the project document.</t>
  </si>
  <si>
    <t>Code</t>
  </si>
  <si>
    <t>Project (as in the drop-down list)</t>
  </si>
  <si>
    <t>Company</t>
  </si>
  <si>
    <t>The agent's job</t>
  </si>
  <si>
    <t>Trust level</t>
  </si>
  <si>
    <t>The trap</t>
  </si>
  <si>
    <t>P1</t>
  </si>
  <si>
    <t>P1 · Tier-1 deflection — HR &amp; payroll SaaS</t>
  </si>
  <si>
    <t>HR &amp; payroll SaaS</t>
  </si>
  <si>
    <t>Answers documentation questions in the in-app widget, cites the article, escalates anything touching pay figures</t>
  </si>
  <si>
    <t>L3 docs · L1 on money</t>
  </si>
  <si>
    <t>Seasonal drift; legal deadlines that differ by country</t>
  </si>
  <si>
    <t>P2</t>
  </si>
  <si>
    <t>P2 · Agent-assist copilot — B2B payments fintech</t>
  </si>
  <si>
    <t>Fintech (B2B payments)</t>
  </si>
  <si>
    <t>Pre-reads the account and drafts the reply for the human agent; never answers the customer itself</t>
  </si>
  <si>
    <t>L2</t>
  </si>
  <si>
    <t>A wrong transaction match is worse than no draft</t>
  </si>
  <si>
    <t>P3</t>
  </si>
  <si>
    <t>P3 · Proactive incident communicator — DevOps SaaS</t>
  </si>
  <si>
    <t>DevOps / observability SaaS</t>
  </si>
  <si>
    <t>Clusters tickets during an outage, drafts the status update, replies to affected customers</t>
  </si>
  <si>
    <t>L2 first message · L4 follow-ups</t>
  </si>
  <si>
    <t>False clustering; incidents are hard to A/B test</t>
  </si>
  <si>
    <t>P4</t>
  </si>
  <si>
    <t>P4 · Refund &amp; cancellation agent — e-commerce logistics</t>
  </si>
  <si>
    <t>E-commerce logistics SaaS</t>
  </si>
  <si>
    <t>Checks eligibility, executes refunds under a threshold, escalates above</t>
  </si>
  <si>
    <t>L4 &lt; €20 · L2 €20–100 · L1 above</t>
  </si>
  <si>
    <t>Loses money (over-refunds) or customers (wrong refusals) silently</t>
  </si>
  <si>
    <t>P5</t>
  </si>
  <si>
    <t>P5 · Multilingual support agent — ed-tech LMS</t>
  </si>
  <si>
    <t>Ed-tech LMS, 14 countries</t>
  </si>
  <si>
    <t>Answers in the customer's language from an English knowledge base; routes sensitive requests to a native speaker</t>
  </si>
  <si>
    <t>L3 per language</t>
  </si>
  <si>
    <t>Simpson's paradox: small languages get worse while the average improves</t>
  </si>
  <si>
    <t>P6</t>
  </si>
  <si>
    <t>P6 · Churn-prevention support agent — project-management SaaS</t>
  </si>
  <si>
    <t>Project-management SaaS</t>
  </si>
  <si>
    <t>Resolves the ticket, spots churn signals, offers a retention action when the churn model flags the account</t>
  </si>
  <si>
    <t>L3 support · L2 retention offer</t>
  </si>
  <si>
    <t>The real metric (90-day retention) is too slow for an A/B test</t>
  </si>
  <si>
    <t>P7</t>
  </si>
  <si>
    <t>P7 · SLA-aware prioritisation — cybersecurity SaaS</t>
  </si>
  <si>
    <t>Cybersecurity SaaS (enterprise SLAs)</t>
  </si>
  <si>
    <t>Classifies severity, proposes troubleshooting steps; never contacts the customer</t>
  </si>
  <si>
    <t>L4 internal · L2 customer</t>
  </si>
  <si>
    <t>Missing a real P1 is rare but catastrophic; logs cannot leave</t>
  </si>
  <si>
    <t>P8</t>
  </si>
  <si>
    <t>P8 · Voice-of-customer synthesis — hospitality-tech SaaS</t>
  </si>
  <si>
    <t>Hospitality-tech SaaS (reviews.csv)</t>
  </si>
  <si>
    <t>Explains to a hotel why its rating moved: themes, top three issues, change vs last quarter</t>
  </si>
  <si>
    <t>A synthesis is a judgement, not a fact — needs human graders</t>
  </si>
  <si>
    <t>OWN</t>
  </si>
  <si>
    <t>Own project (bring your own — 00_pitch.md before Session 3)</t>
  </si>
  <si>
    <t>Your choice — a B2B SaaS</t>
  </si>
  <si>
    <t>Must stay a customer-support agent for a B2B SaaS and pass the 7-point checklist</t>
  </si>
  <si>
    <t>At least one step below L4</t>
  </si>
  <si>
    <t>Usually refused: an AI that answers everything, a B2C chatbot, satisfaction as the only metric</t>
  </si>
  <si>
    <t>INTER-1 — teams</t>
  </si>
  <si>
    <t>About 33 students · teams of 4–5 · one row per team, filled in by one member · then each student signs in the “INTER-1 Students” tab · yellow = fill in, grey = automatic</t>
  </si>
  <si>
    <t>Team #</t>
  </si>
  <si>
    <t>Team name</t>
  </si>
  <si>
    <t>Project</t>
  </si>
  <si>
    <t>Own project only — the agent's job in one sentence</t>
  </si>
  <si>
    <t>Contact person</t>
  </si>
  <si>
    <t>Repository link</t>
  </si>
  <si>
    <t>Same team in Agentic Workflows?</t>
  </si>
  <si>
    <t>Members</t>
  </si>
  <si>
    <t>e.g.</t>
  </si>
  <si>
    <t>Team Lighthouse</t>
  </si>
  <si>
    <t>Léa Martin</t>
  </si>
  <si>
    <t>github.com/…/lighthouse-agent</t>
  </si>
  <si>
    <t>yes</t>
  </si>
  <si>
    <t>5</t>
  </si>
  <si>
    <t>Team Montagne</t>
  </si>
  <si>
    <t>Let me think....</t>
  </si>
  <si>
    <t xml:space="preserve">Benjamin Caujolle </t>
  </si>
  <si>
    <t>https://github.com/BenjaminAHS/project-product-management</t>
  </si>
  <si>
    <t>no</t>
  </si>
  <si>
    <t>Lucas Duthu-Paloumet
Mathilde Maudet
Emma Neumayer
Laura Oldakowski
Ariane Boulet</t>
  </si>
  <si>
    <t>TBC</t>
  </si>
  <si>
    <t xml:space="preserve">Mathilde Maudet </t>
  </si>
  <si>
    <t>https://github.com/lucasduthu/Data-AI-Product-P5-Ed-tech-LMS.git</t>
  </si>
  <si>
    <t>Viviam Baiz 
Hoang Ngoc
Miguel Negron
Clara Chaume</t>
  </si>
  <si>
    <t>tbd</t>
  </si>
  <si>
    <t>Viviam Baiz</t>
  </si>
  <si>
    <t>https://github.com/vbaiz/Data_AI_Product_Project</t>
  </si>
  <si>
    <t>Santiago Pastrana
Louise Caquelin
Saumya Joshi
Dhia Ben Cheikh</t>
  </si>
  <si>
    <t>DHIA</t>
  </si>
  <si>
    <t>https://github.com/lcaquelin/Data_AI_product.git</t>
  </si>
  <si>
    <t>Clémence Marco
Andrian Raveloarimanga</t>
  </si>
  <si>
    <t>Clémence Marco</t>
  </si>
  <si>
    <t>Omar Abdellatif             Emile Gadenne           Anas Mossad</t>
  </si>
  <si>
    <t>Omar Abdellatif</t>
  </si>
  <si>
    <t>https://github.com/egadenne-ai/data-ai_product_m2.git</t>
  </si>
  <si>
    <t>Team 7</t>
  </si>
  <si>
    <t>Enzo Méret</t>
  </si>
  <si>
    <t>https://github.com/urbltalbert/Data-AI-Product---From-Diagnosis-to-Delivery</t>
  </si>
  <si>
    <t>Galthié Jane - Saoudi Malek - Grandjean Luna</t>
  </si>
  <si>
    <t>Luna Grandjean</t>
  </si>
  <si>
    <t>https://github.com/LunaGrandjean/Cybersecurity-SaaS</t>
  </si>
  <si>
    <t>Till Lüder Evaluna Barth Benjamin Rasson Teo Desquatrevaux Coline Renauld</t>
  </si>
  <si>
    <t>Till Lüder</t>
  </si>
  <si>
    <t>Orange = check: team size not 4–5, own project without its one-sentence job, or a proposal above the limit set in Overview.</t>
  </si>
  <si>
    <t>INTER-1 — students</t>
  </si>
  <si>
    <t>One row per student, filled in by each student · team number from the “INTER-1 Teams” tab (1–8) · the project appears automatically · yellow = fill in, grey = automatic</t>
  </si>
  <si>
    <t>#</t>
  </si>
  <si>
    <t>Last name</t>
  </si>
  <si>
    <t>First name</t>
  </si>
  <si>
    <t>School email</t>
  </si>
  <si>
    <t>Git handle</t>
  </si>
  <si>
    <t>Project (automatic)</t>
  </si>
  <si>
    <t>Team name (automatic)</t>
  </si>
  <si>
    <t>Martin</t>
  </si>
  <si>
    <t>Léa</t>
  </si>
  <si>
    <t>firstname.lastname@…</t>
  </si>
  <si>
    <t>leamartin</t>
  </si>
  <si>
    <t>(from the team row)</t>
  </si>
  <si>
    <t>(automatic)</t>
  </si>
  <si>
    <t>Méret</t>
  </si>
  <si>
    <t>Enzo</t>
  </si>
  <si>
    <t>emeret@albertschool.com</t>
  </si>
  <si>
    <t>emeret-as</t>
  </si>
  <si>
    <t>Lüder</t>
  </si>
  <si>
    <t>Till</t>
  </si>
  <si>
    <t>tluder@albertschool.com</t>
  </si>
  <si>
    <t>tluder-dot</t>
  </si>
  <si>
    <t>Boulet</t>
  </si>
  <si>
    <t>Ariane</t>
  </si>
  <si>
    <t>aboulet@albertschool.com</t>
  </si>
  <si>
    <t>aboulet13</t>
  </si>
  <si>
    <t>Barth</t>
  </si>
  <si>
    <t>Evaluna</t>
  </si>
  <si>
    <t>ebarth@albertschool.com</t>
  </si>
  <si>
    <t>evalunab</t>
  </si>
  <si>
    <t>Caujolle</t>
  </si>
  <si>
    <t>Benjamin</t>
  </si>
  <si>
    <t>bcaujolle@albertschool.com</t>
  </si>
  <si>
    <t>BenjaminAHS</t>
  </si>
  <si>
    <t>Santus</t>
  </si>
  <si>
    <t>Lenny</t>
  </si>
  <si>
    <t>lsantus@albertschool.com</t>
  </si>
  <si>
    <t>lsantus-mines</t>
  </si>
  <si>
    <t>Rabeau</t>
  </si>
  <si>
    <t>Antoine</t>
  </si>
  <si>
    <t>arabeau@albertschool.com</t>
  </si>
  <si>
    <t>antorabo75</t>
  </si>
  <si>
    <t>Rascle</t>
  </si>
  <si>
    <t>Anthony</t>
  </si>
  <si>
    <t>arascle@albertschool.com</t>
  </si>
  <si>
    <t>antotototototo18</t>
  </si>
  <si>
    <t>Sibieude</t>
  </si>
  <si>
    <t>Colin</t>
  </si>
  <si>
    <t>csibieude@albertschool.com</t>
  </si>
  <si>
    <t>csib-wq</t>
  </si>
  <si>
    <t xml:space="preserve">Baiz </t>
  </si>
  <si>
    <t>Viviam</t>
  </si>
  <si>
    <t>vbaiz@albertschool.com</t>
  </si>
  <si>
    <t>vbaiz</t>
  </si>
  <si>
    <t>Negron</t>
  </si>
  <si>
    <t>Miguel</t>
  </si>
  <si>
    <t>mnegron@albertschool.com</t>
  </si>
  <si>
    <t>mnegron-cloud</t>
  </si>
  <si>
    <t xml:space="preserve">Ngoc </t>
  </si>
  <si>
    <t>Tran</t>
  </si>
  <si>
    <t>ntran@albertschool.com</t>
  </si>
  <si>
    <t>Chaume</t>
  </si>
  <si>
    <t>Carla</t>
  </si>
  <si>
    <t>cchaume@albertschool.com</t>
  </si>
  <si>
    <t>Reboullet</t>
  </si>
  <si>
    <t>Ugo</t>
  </si>
  <si>
    <t>ureboullet@albertschool.com</t>
  </si>
  <si>
    <t>urbltalbert</t>
  </si>
  <si>
    <t>Marco</t>
  </si>
  <si>
    <t>Clémence</t>
  </si>
  <si>
    <t>cmarco@albertschool.com</t>
  </si>
  <si>
    <t>clemencemarco-prog</t>
  </si>
  <si>
    <t>Raveloarimanga</t>
  </si>
  <si>
    <t>Rajesy Ny Andrian</t>
  </si>
  <si>
    <t>rraveloarimanga@albertschool.com</t>
  </si>
  <si>
    <t>Andrianrjs</t>
  </si>
  <si>
    <t>Maudet</t>
  </si>
  <si>
    <t>Mathilde</t>
  </si>
  <si>
    <t>mmaudet@albertschool.com</t>
  </si>
  <si>
    <t>mathmdt</t>
  </si>
  <si>
    <t>Caquelin</t>
  </si>
  <si>
    <t>Louise</t>
  </si>
  <si>
    <t>lcaquelin@albertschool.com</t>
  </si>
  <si>
    <t>lcaquelin</t>
  </si>
  <si>
    <t>Joshi</t>
  </si>
  <si>
    <t>Saumya</t>
  </si>
  <si>
    <t>sjoshi@albertschool.com</t>
  </si>
  <si>
    <t>Orange = this name appears twice. Not on the list and no free row? Tell the teacher.</t>
  </si>
  <si>
    <t xml:space="preserve"> </t>
  </si>
  <si>
    <t>About 29–30 students · teams of 4–5 · one row per team, filled in by one member · then each student signs in the “INTER-2 Students” tab · yellow = fill in, grey = automatic</t>
  </si>
  <si>
    <t>Côme-Oussama-Daniel (COD)</t>
  </si>
  <si>
    <t xml:space="preserve">Daniel Perez </t>
  </si>
  <si>
    <t>No</t>
  </si>
  <si>
    <t>OG Albert</t>
  </si>
  <si>
    <t>Alexis (dermatologue)</t>
  </si>
  <si>
    <t>NAVY (Nahel, Alexandre, Vincent, Yoni)</t>
  </si>
  <si>
    <t>Vincent Lamy</t>
  </si>
  <si>
    <t>TYN (Tom, Yannick, Nissrine)</t>
  </si>
  <si>
    <t>Tom Bouillaguet</t>
  </si>
  <si>
    <t>Luli, Rania, Wei-Ling, Chanelle</t>
  </si>
  <si>
    <t>Rania Mehria</t>
  </si>
  <si>
    <t>TOES
Ugo, Thomas, Feliz, Bastien</t>
  </si>
  <si>
    <t>Agent de ticketing auto Zendesk/Dust/GCP</t>
  </si>
  <si>
    <t>Thomas ALAPHILIPPE</t>
  </si>
  <si>
    <t>ALAN</t>
  </si>
  <si>
    <t>Leon Pejic</t>
  </si>
  <si>
    <t xml:space="preserve">   </t>
  </si>
  <si>
    <t>INTER-2 — students</t>
  </si>
  <si>
    <t>One row per student, filled in by each student · team number from the “INTER-2 Teams” tab (1–8) · the project appears automatically · yellow = fill in, grey = automatic</t>
  </si>
  <si>
    <t>Perez</t>
  </si>
  <si>
    <t>Daniel</t>
  </si>
  <si>
    <t>dperez@albertschool.com</t>
  </si>
  <si>
    <t>danielpereztriana11</t>
  </si>
  <si>
    <t>oubenal</t>
  </si>
  <si>
    <t xml:space="preserve">oussama </t>
  </si>
  <si>
    <t>ooubenal@albertschool.com</t>
  </si>
  <si>
    <t>Luberne</t>
  </si>
  <si>
    <t>Féliz</t>
  </si>
  <si>
    <t>fluberne@albertschool.com</t>
  </si>
  <si>
    <t>fefelbrn</t>
  </si>
  <si>
    <t>Alaphilippe</t>
  </si>
  <si>
    <t>Thomas</t>
  </si>
  <si>
    <t>talaphilippe@albertschool.com</t>
  </si>
  <si>
    <t>Zanchi</t>
  </si>
  <si>
    <t>uzanchi@albertschool.com</t>
  </si>
  <si>
    <t>Ragueneau</t>
  </si>
  <si>
    <t>Bastien</t>
  </si>
  <si>
    <t>bragenau@albertschool.com</t>
  </si>
  <si>
    <t>Maruyama</t>
  </si>
  <si>
    <t>Luli</t>
  </si>
  <si>
    <t>lmaruyama@albertschool.com</t>
  </si>
  <si>
    <t>lumaruyam</t>
  </si>
  <si>
    <t>Mehria</t>
  </si>
  <si>
    <t>Rania</t>
  </si>
  <si>
    <t>rmehria@albertschool.com</t>
  </si>
  <si>
    <t>raniamehria</t>
  </si>
  <si>
    <t>Sanchez</t>
  </si>
  <si>
    <t>Chanelle</t>
  </si>
  <si>
    <t>csanchez@albertschool.com</t>
  </si>
  <si>
    <t>csanchez-cyber</t>
  </si>
  <si>
    <t>Hung</t>
  </si>
  <si>
    <t>Wei-Ling</t>
  </si>
  <si>
    <t>whung@albertschool.com</t>
  </si>
  <si>
    <t>whung99</t>
  </si>
  <si>
    <t>Martini</t>
  </si>
  <si>
    <t>Yannick</t>
  </si>
  <si>
    <t>ymartini@albertschool.com</t>
  </si>
  <si>
    <t>Bouillaguet</t>
  </si>
  <si>
    <t>Tom</t>
  </si>
  <si>
    <t>tbouillaguet@albertschool.com</t>
  </si>
  <si>
    <t>Ifih</t>
  </si>
  <si>
    <t>Nissrine</t>
  </si>
  <si>
    <t>nifih@albertschool.com</t>
  </si>
  <si>
    <t>Pietri</t>
  </si>
  <si>
    <t>cpietri@albertschool.com</t>
  </si>
  <si>
    <t>Meimoun</t>
  </si>
  <si>
    <t>Mathis</t>
  </si>
  <si>
    <t>mmeimoun@albertschool.com</t>
  </si>
  <si>
    <t>Maeder</t>
  </si>
  <si>
    <t>Alexis</t>
  </si>
  <si>
    <t>amaeder@albertschool.com</t>
  </si>
  <si>
    <t>Brunet</t>
  </si>
  <si>
    <t>Lou</t>
  </si>
  <si>
    <t>lbrunet@albertschool.com</t>
  </si>
  <si>
    <t>BOnneviale</t>
  </si>
  <si>
    <t>come</t>
  </si>
  <si>
    <t>c.bonneviale@albertschool.com</t>
  </si>
  <si>
    <t>Pejic</t>
  </si>
  <si>
    <t>Léon</t>
  </si>
  <si>
    <t>lpejic@albertschool.com</t>
  </si>
  <si>
    <t>leonkingofjungle</t>
  </si>
  <si>
    <t>Mouttapa</t>
  </si>
  <si>
    <t>Aymeric</t>
  </si>
  <si>
    <t>amouttapa@albertschool.com</t>
  </si>
  <si>
    <t>AymericMtp</t>
  </si>
  <si>
    <t>Gilhodes</t>
  </si>
  <si>
    <t>Nicolas</t>
  </si>
  <si>
    <t>ngilhodes@albertschool.com</t>
  </si>
  <si>
    <t>ngilhodes-netizen</t>
  </si>
  <si>
    <t>Lavialle</t>
  </si>
  <si>
    <t>Ange</t>
  </si>
  <si>
    <t>alavialle@albertschool.com</t>
  </si>
  <si>
    <t>Waerniers</t>
  </si>
  <si>
    <t>Alexandre</t>
  </si>
  <si>
    <t>awaerniers@albertschool.com</t>
  </si>
  <si>
    <t>Xenodion</t>
  </si>
  <si>
    <t>Overview — who chose what (automatic)</t>
  </si>
  <si>
    <t>For the teacher. Only C4 is editable.</t>
  </si>
  <si>
    <t>Maximum number of teams per proposal, in each cohort</t>
  </si>
  <si>
    <t>Teams above this limit are highlighted in the cohort tabs (Own project is never capped).</t>
  </si>
  <si>
    <t>INTER-1 teams</t>
  </si>
  <si>
    <t>INTER-2 teams</t>
  </si>
  <si>
    <t>Total</t>
  </si>
  <si>
    <t>Per cohort</t>
  </si>
  <si>
    <t>INTER-1</t>
  </si>
  <si>
    <t>INTER-2</t>
  </si>
  <si>
    <t>Students signed up</t>
  </si>
  <si>
    <t>…of whom without a team number</t>
  </si>
  <si>
    <t>Teams with a project chosen</t>
  </si>
  <si>
    <t>Teams with 4–5 members</t>
  </si>
  <si>
    <t>Teams on their own project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</si>
</sst>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6.0"/>
      <color rgb="FF202448"/>
      <name val="Arial"/>
    </font>
    <font>
      <i/>
      <sz val="11.0"/>
      <color rgb="FF6B7280"/>
      <name val="Arial"/>
    </font>
    <font>
      <b/>
      <sz val="11.0"/>
      <color rgb="FF035CA0"/>
      <name val="Arial"/>
    </font>
    <font>
      <sz val="11.0"/>
      <color rgb="FF1F2937"/>
      <name val="Arial"/>
    </font>
    <font>
      <b/>
      <sz val="14.0"/>
      <color rgb="FF202448"/>
      <name val="Arial"/>
    </font>
    <font>
      <b/>
      <sz val="11.0"/>
      <color rgb="FFFFFFFF"/>
      <name val="Arial"/>
    </font>
    <font>
      <b/>
      <sz val="11.0"/>
      <color rgb="FF202448"/>
      <name val="Arial"/>
    </font>
    <font>
      <color theme="1"/>
      <name val="Calibri"/>
      <scheme val="minor"/>
    </font>
    <font>
      <u/>
      <sz val="11.0"/>
      <color rgb="FF1F2937"/>
      <name val="Arial"/>
    </font>
    <font>
      <sz val="11.0"/>
      <color rgb="FF202448"/>
      <name val="Arial"/>
    </font>
    <font>
      <u/>
      <sz val="11.0"/>
      <color rgb="FF0000FF"/>
      <name val="Arial"/>
    </font>
    <font>
      <sz val="11.0"/>
      <color rgb="FF6B7280"/>
      <name val="Arial"/>
    </font>
    <font>
      <b/>
      <sz val="11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02448"/>
        <bgColor rgb="FF202448"/>
      </patternFill>
    </fill>
    <fill>
      <patternFill patternType="solid">
        <fgColor rgb="FFF5F7FB"/>
        <bgColor rgb="FFF5F7FB"/>
      </patternFill>
    </fill>
    <fill>
      <patternFill patternType="solid">
        <fgColor rgb="FFFFF2CC"/>
        <bgColor rgb="FFFFF2CC"/>
      </patternFill>
    </fill>
    <fill>
      <patternFill patternType="solid">
        <fgColor rgb="FFEEEEEE"/>
        <bgColor rgb="FFEEEEEE"/>
      </patternFill>
    </fill>
  </fills>
  <borders count="4">
    <border/>
    <border>
      <left style="thin">
        <color rgb="FFD5DEEA"/>
      </left>
      <right style="thin">
        <color rgb="FFD5DEEA"/>
      </right>
      <top style="thin">
        <color rgb="FFD5DEEA"/>
      </top>
      <bottom style="thin">
        <color rgb="FFD5DEEA"/>
      </bottom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center" wrapText="1"/>
    </xf>
    <xf borderId="1" fillId="0" fontId="7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3" fontId="7" numFmtId="0" xfId="0" applyAlignment="1" applyBorder="1" applyFill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2" fillId="0" fontId="8" numFmtId="0" xfId="0" applyBorder="1" applyFont="1"/>
    <xf borderId="1" fillId="0" fontId="2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center" shrinkToFit="0" vertical="top" wrapText="0"/>
    </xf>
    <xf borderId="1" fillId="4" fontId="4" numFmtId="0" xfId="0" applyAlignment="1" applyBorder="1" applyFill="1" applyFont="1">
      <alignment readingOrder="0" shrinkToFit="0" vertical="top" wrapText="1"/>
    </xf>
    <xf borderId="1" fillId="4" fontId="9" numFmtId="0" xfId="0" applyAlignment="1" applyBorder="1" applyFill="1" applyFont="1">
      <alignment readingOrder="0" shrinkToFit="0" vertical="top" wrapText="1"/>
    </xf>
    <xf borderId="1" fillId="5" fontId="7" numFmtId="0" xfId="0" applyAlignment="1" applyBorder="1" applyFill="1" applyFont="1">
      <alignment horizontal="center" shrinkToFit="0" vertical="top" wrapText="0"/>
    </xf>
    <xf borderId="1" fillId="5" fontId="10" numFmtId="0" xfId="0" applyAlignment="1" applyBorder="1" applyFill="1" applyFont="1">
      <alignment horizontal="center" readingOrder="0" shrinkToFit="0" vertical="top" wrapText="0"/>
    </xf>
    <xf borderId="1" fillId="5" fontId="7" numFmtId="0" xfId="0" applyAlignment="1" applyBorder="1" applyFill="1" applyFont="1">
      <alignment horizontal="center" readingOrder="0" shrinkToFit="0" vertical="top" wrapText="0"/>
    </xf>
    <xf borderId="1" fillId="4" fontId="4" numFmtId="0" xfId="0" applyAlignment="1" applyBorder="1" applyFill="1" applyFont="1">
      <alignment shrinkToFit="0" vertical="top" wrapText="1"/>
    </xf>
    <xf borderId="1" fillId="4" fontId="11" numFmtId="0" xfId="0" applyAlignment="1" applyBorder="1" applyFill="1" applyFont="1">
      <alignment readingOrder="0" shrinkToFit="0" vertical="top" wrapText="1"/>
    </xf>
    <xf borderId="1" fillId="0" fontId="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horizontal="center" shrinkToFit="0" vertical="bottom" wrapText="0"/>
    </xf>
    <xf borderId="1" fillId="4" fontId="4" numFmtId="0" xfId="0" applyAlignment="1" applyBorder="1" applyFill="1" applyFont="1">
      <alignment readingOrder="0" shrinkToFit="0" vertical="bottom" wrapText="0"/>
    </xf>
    <xf borderId="1" fillId="4" fontId="4" numFmtId="0" xfId="0" applyAlignment="1" applyBorder="1" applyFill="1" applyFont="1">
      <alignment horizontal="center" readingOrder="0" shrinkToFit="0" vertical="bottom" wrapText="0"/>
    </xf>
    <xf borderId="1" fillId="5" fontId="10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1" fillId="4" fontId="4" numFmtId="0" xfId="0" applyAlignment="1" applyBorder="1" applyFill="1" applyFont="1">
      <alignment horizontal="center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7" numFmtId="0" xfId="0" applyAlignment="1" applyFont="1">
      <alignment shrinkToFit="0" vertical="bottom" wrapText="0"/>
    </xf>
    <xf borderId="3" fillId="4" fontId="13" numFmtId="0" xfId="0" applyAlignment="1" applyBorder="1" applyFill="1" applyFont="1">
      <alignment horizontal="center" shrinkToFit="0" vertical="bottom" wrapText="0"/>
    </xf>
    <xf borderId="1" fillId="2" fontId="6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enjaminAHS/project-product-management" TargetMode="External"/><Relationship Id="rId2" Type="http://schemas.openxmlformats.org/officeDocument/2006/relationships/hyperlink" Target="https://github.com/lucasduthu/Data-AI-Product-P5-Ed-tech-LMS.git" TargetMode="External"/><Relationship Id="rId3" Type="http://schemas.openxmlformats.org/officeDocument/2006/relationships/hyperlink" Target="https://github.com/vbaiz/Data_AI_Product_Project" TargetMode="External"/><Relationship Id="rId4" Type="http://schemas.openxmlformats.org/officeDocument/2006/relationships/hyperlink" Target="https://github.com/lcaquelin/Data_AI_product.git" TargetMode="External"/><Relationship Id="rId5" Type="http://schemas.openxmlformats.org/officeDocument/2006/relationships/hyperlink" Target="https://github.com/egadenne-ai/data-ai_product_m2.git" TargetMode="External"/><Relationship Id="rId6" Type="http://schemas.openxmlformats.org/officeDocument/2006/relationships/hyperlink" Target="https://github.com/urbltalbert/Data-AI-Product---From-Diagnosis-to-Delivery" TargetMode="External"/><Relationship Id="rId7" Type="http://schemas.openxmlformats.org/officeDocument/2006/relationships/hyperlink" Target="https://github.com/LunaGrandjean/Cybersecurity-SaaS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10.0"/>
    <col customWidth="1" min="3" max="26" width="8.71"/>
  </cols>
  <sheetData>
    <row r="2">
      <c r="B2" s="1" t="s">
        <v>0</v>
      </c>
    </row>
    <row r="3">
      <c r="B3" s="2" t="s">
        <v>1</v>
      </c>
    </row>
    <row r="5">
      <c r="B5" s="3" t="s">
        <v>2</v>
      </c>
    </row>
    <row r="6" ht="61.5" customHeight="1">
      <c r="B6" s="4" t="s">
        <v>3</v>
      </c>
    </row>
    <row r="8">
      <c r="B8" s="3" t="s">
        <v>4</v>
      </c>
    </row>
    <row r="9" ht="31.5" customHeight="1">
      <c r="B9" s="4" t="s">
        <v>5</v>
      </c>
    </row>
    <row r="11">
      <c r="B11" s="3" t="s">
        <v>6</v>
      </c>
    </row>
    <row r="12" ht="31.5" customHeight="1">
      <c r="B12" s="4" t="s">
        <v>7</v>
      </c>
    </row>
    <row r="14">
      <c r="B14" s="3" t="s">
        <v>8</v>
      </c>
    </row>
    <row r="15" ht="46.5" customHeight="1">
      <c r="B15" s="4" t="s">
        <v>9</v>
      </c>
    </row>
    <row r="17">
      <c r="B17" s="3" t="s">
        <v>10</v>
      </c>
    </row>
    <row r="18" ht="31.5" customHeight="1">
      <c r="B18" s="4" t="s">
        <v>11</v>
      </c>
    </row>
    <row r="20">
      <c r="B20" s="3" t="s">
        <v>12</v>
      </c>
    </row>
    <row r="21" ht="31.5" customHeight="1">
      <c r="B21" s="4" t="s">
        <v>13</v>
      </c>
    </row>
    <row r="22" ht="15.75" customHeight="1"/>
    <row r="23" ht="15.75" customHeight="1">
      <c r="B23" s="3" t="s">
        <v>14</v>
      </c>
    </row>
    <row r="24" ht="31.5" customHeight="1">
      <c r="B24" s="4" t="s">
        <v>15</v>
      </c>
    </row>
    <row r="25" ht="15.75" customHeight="1"/>
    <row r="26" ht="15.75" customHeight="1">
      <c r="B26" s="2" t="s">
        <v>16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7.0"/>
    <col customWidth="1" min="2" max="2" width="52.0"/>
    <col customWidth="1" min="3" max="3" width="30.0"/>
    <col customWidth="1" min="4" max="4" width="70.0"/>
    <col customWidth="1" min="5" max="5" width="26.0"/>
    <col customWidth="1" min="6" max="6" width="52.0"/>
    <col customWidth="1" min="7" max="26" width="8.71"/>
  </cols>
  <sheetData>
    <row r="1">
      <c r="A1" s="5" t="s">
        <v>17</v>
      </c>
    </row>
    <row r="2">
      <c r="A2" s="2" t="s">
        <v>18</v>
      </c>
    </row>
    <row r="4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</row>
    <row r="5" ht="31.5" customHeight="1">
      <c r="A5" s="7" t="s">
        <v>25</v>
      </c>
      <c r="B5" s="7" t="s">
        <v>26</v>
      </c>
      <c r="C5" s="8" t="s">
        <v>27</v>
      </c>
      <c r="D5" s="8" t="s">
        <v>28</v>
      </c>
      <c r="E5" s="8" t="s">
        <v>29</v>
      </c>
      <c r="F5" s="8" t="s">
        <v>30</v>
      </c>
    </row>
    <row r="6" ht="31.5" customHeight="1">
      <c r="A6" s="9" t="s">
        <v>31</v>
      </c>
      <c r="B6" s="9" t="s">
        <v>32</v>
      </c>
      <c r="C6" s="10" t="s">
        <v>33</v>
      </c>
      <c r="D6" s="10" t="s">
        <v>34</v>
      </c>
      <c r="E6" s="10" t="s">
        <v>35</v>
      </c>
      <c r="F6" s="10" t="s">
        <v>36</v>
      </c>
    </row>
    <row r="7" ht="31.5" customHeight="1">
      <c r="A7" s="7" t="s">
        <v>37</v>
      </c>
      <c r="B7" s="7" t="s">
        <v>38</v>
      </c>
      <c r="C7" s="8" t="s">
        <v>39</v>
      </c>
      <c r="D7" s="8" t="s">
        <v>40</v>
      </c>
      <c r="E7" s="8" t="s">
        <v>41</v>
      </c>
      <c r="F7" s="8" t="s">
        <v>42</v>
      </c>
    </row>
    <row r="8" ht="31.5" customHeight="1">
      <c r="A8" s="9" t="s">
        <v>43</v>
      </c>
      <c r="B8" s="9" t="s">
        <v>44</v>
      </c>
      <c r="C8" s="10" t="s">
        <v>45</v>
      </c>
      <c r="D8" s="10" t="s">
        <v>46</v>
      </c>
      <c r="E8" s="10" t="s">
        <v>47</v>
      </c>
      <c r="F8" s="10" t="s">
        <v>48</v>
      </c>
    </row>
    <row r="9" ht="31.5" customHeight="1">
      <c r="A9" s="7" t="s">
        <v>49</v>
      </c>
      <c r="B9" s="7" t="s">
        <v>50</v>
      </c>
      <c r="C9" s="8" t="s">
        <v>51</v>
      </c>
      <c r="D9" s="8" t="s">
        <v>52</v>
      </c>
      <c r="E9" s="8" t="s">
        <v>53</v>
      </c>
      <c r="F9" s="8" t="s">
        <v>54</v>
      </c>
    </row>
    <row r="10" ht="31.5" customHeight="1">
      <c r="A10" s="9" t="s">
        <v>55</v>
      </c>
      <c r="B10" s="9" t="s">
        <v>56</v>
      </c>
      <c r="C10" s="10" t="s">
        <v>57</v>
      </c>
      <c r="D10" s="10" t="s">
        <v>58</v>
      </c>
      <c r="E10" s="10" t="s">
        <v>59</v>
      </c>
      <c r="F10" s="10" t="s">
        <v>60</v>
      </c>
    </row>
    <row r="11" ht="31.5" customHeight="1">
      <c r="A11" s="7" t="s">
        <v>61</v>
      </c>
      <c r="B11" s="7" t="s">
        <v>62</v>
      </c>
      <c r="C11" s="8" t="s">
        <v>63</v>
      </c>
      <c r="D11" s="8" t="s">
        <v>64</v>
      </c>
      <c r="E11" s="8" t="s">
        <v>65</v>
      </c>
      <c r="F11" s="8" t="s">
        <v>66</v>
      </c>
    </row>
    <row r="12" ht="31.5" customHeight="1">
      <c r="A12" s="9" t="s">
        <v>67</v>
      </c>
      <c r="B12" s="9" t="s">
        <v>68</v>
      </c>
      <c r="C12" s="10" t="s">
        <v>69</v>
      </c>
      <c r="D12" s="10" t="s">
        <v>70</v>
      </c>
      <c r="E12" s="10" t="s">
        <v>35</v>
      </c>
      <c r="F12" s="10" t="s">
        <v>71</v>
      </c>
    </row>
    <row r="13" ht="31.5" customHeight="1">
      <c r="A13" s="7" t="s">
        <v>72</v>
      </c>
      <c r="B13" s="7" t="s">
        <v>73</v>
      </c>
      <c r="C13" s="8" t="s">
        <v>74</v>
      </c>
      <c r="D13" s="8" t="s">
        <v>75</v>
      </c>
      <c r="E13" s="8" t="s">
        <v>76</v>
      </c>
      <c r="F13" s="8" t="s">
        <v>77</v>
      </c>
    </row>
    <row r="16">
      <c r="C16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35CA0"/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1.14"/>
    <col customWidth="1" min="2" max="2" width="25.0"/>
    <col customWidth="1" min="3" max="4" width="52.0"/>
    <col customWidth="1" min="5" max="5" width="22.0"/>
    <col customWidth="1" min="6" max="6" width="34.0"/>
    <col customWidth="1" min="7" max="7" width="20.0"/>
    <col customWidth="1" min="8" max="8" width="11.0"/>
    <col customWidth="1" min="9" max="26" width="8.71"/>
  </cols>
  <sheetData>
    <row r="1">
      <c r="A1" s="1" t="s">
        <v>78</v>
      </c>
    </row>
    <row r="2">
      <c r="A2" s="2" t="s">
        <v>79</v>
      </c>
    </row>
    <row r="4">
      <c r="A4" s="6" t="s">
        <v>80</v>
      </c>
      <c r="B4" s="6" t="s">
        <v>81</v>
      </c>
      <c r="C4" s="6" t="s">
        <v>82</v>
      </c>
      <c r="D4" s="6" t="s">
        <v>83</v>
      </c>
      <c r="E4" s="6" t="s">
        <v>84</v>
      </c>
      <c r="F4" s="6" t="s">
        <v>85</v>
      </c>
      <c r="G4" s="6" t="s">
        <v>86</v>
      </c>
      <c r="H4" s="6" t="s">
        <v>87</v>
      </c>
    </row>
    <row r="5">
      <c r="A5" s="12" t="s">
        <v>88</v>
      </c>
      <c r="B5" s="12" t="s">
        <v>89</v>
      </c>
      <c r="C5" s="12" t="s">
        <v>68</v>
      </c>
      <c r="D5" s="12"/>
      <c r="E5" s="12" t="s">
        <v>90</v>
      </c>
      <c r="F5" s="12" t="s">
        <v>91</v>
      </c>
      <c r="G5" s="12" t="s">
        <v>92</v>
      </c>
      <c r="H5" s="12" t="s">
        <v>93</v>
      </c>
    </row>
    <row r="6" ht="33.75" customHeight="1">
      <c r="A6" s="13">
        <v>1.0</v>
      </c>
      <c r="B6" s="14" t="s">
        <v>94</v>
      </c>
      <c r="C6" s="14" t="s">
        <v>73</v>
      </c>
      <c r="D6" s="14" t="s">
        <v>95</v>
      </c>
      <c r="E6" s="14" t="s">
        <v>96</v>
      </c>
      <c r="F6" s="15" t="s">
        <v>97</v>
      </c>
      <c r="G6" s="14" t="s">
        <v>98</v>
      </c>
      <c r="H6" s="16">
        <f>IF(COUNTIF('INTER-1 Students'!$E$6:$E$42,A6)=0,"",COUNTIF('INTER-1 Students'!$E$6:$E$42,A6))</f>
        <v>5</v>
      </c>
    </row>
    <row r="7" ht="91.5" customHeight="1">
      <c r="A7" s="13">
        <v>2.0</v>
      </c>
      <c r="B7" s="14" t="s">
        <v>99</v>
      </c>
      <c r="C7" s="14" t="s">
        <v>73</v>
      </c>
      <c r="D7" s="14" t="s">
        <v>100</v>
      </c>
      <c r="E7" s="14" t="s">
        <v>101</v>
      </c>
      <c r="F7" s="15" t="s">
        <v>102</v>
      </c>
      <c r="G7" s="14" t="s">
        <v>98</v>
      </c>
      <c r="H7" s="17">
        <v>5.0</v>
      </c>
    </row>
    <row r="8" ht="67.5" customHeight="1">
      <c r="A8" s="13">
        <v>3.0</v>
      </c>
      <c r="B8" s="14" t="s">
        <v>103</v>
      </c>
      <c r="C8" s="14" t="s">
        <v>56</v>
      </c>
      <c r="D8" s="14" t="s">
        <v>104</v>
      </c>
      <c r="E8" s="14" t="s">
        <v>105</v>
      </c>
      <c r="F8" s="15" t="s">
        <v>106</v>
      </c>
      <c r="G8" s="14" t="s">
        <v>98</v>
      </c>
      <c r="H8" s="18">
        <v>4.0</v>
      </c>
    </row>
    <row r="9">
      <c r="A9" s="13">
        <v>4.0</v>
      </c>
      <c r="B9" s="14" t="s">
        <v>107</v>
      </c>
      <c r="C9" s="14" t="s">
        <v>32</v>
      </c>
      <c r="D9" s="19"/>
      <c r="E9" s="14" t="s">
        <v>108</v>
      </c>
      <c r="F9" s="15" t="s">
        <v>109</v>
      </c>
      <c r="G9" s="14" t="s">
        <v>98</v>
      </c>
      <c r="H9" s="18">
        <v>4.0</v>
      </c>
    </row>
    <row r="10" ht="50.25" customHeight="1">
      <c r="A10" s="13">
        <v>5.0</v>
      </c>
      <c r="B10" s="14" t="s">
        <v>110</v>
      </c>
      <c r="C10" s="14" t="s">
        <v>44</v>
      </c>
      <c r="D10" s="19"/>
      <c r="E10" s="14" t="s">
        <v>111</v>
      </c>
      <c r="F10" s="19"/>
      <c r="G10" s="14" t="s">
        <v>92</v>
      </c>
      <c r="H10" s="18">
        <v>2.0</v>
      </c>
    </row>
    <row r="11" ht="58.5" customHeight="1">
      <c r="A11" s="13">
        <v>6.0</v>
      </c>
      <c r="B11" s="14" t="s">
        <v>112</v>
      </c>
      <c r="C11" s="14" t="s">
        <v>26</v>
      </c>
      <c r="D11" s="14"/>
      <c r="E11" s="14" t="s">
        <v>113</v>
      </c>
      <c r="F11" s="20" t="s">
        <v>114</v>
      </c>
      <c r="G11" s="14" t="s">
        <v>92</v>
      </c>
      <c r="H11" s="18">
        <v>3.0</v>
      </c>
    </row>
    <row r="12" ht="51.0" customHeight="1">
      <c r="A12" s="13">
        <v>7.0</v>
      </c>
      <c r="B12" s="14" t="s">
        <v>115</v>
      </c>
      <c r="C12" s="14" t="s">
        <v>68</v>
      </c>
      <c r="D12" s="19"/>
      <c r="E12" s="14" t="s">
        <v>116</v>
      </c>
      <c r="F12" s="15" t="s">
        <v>117</v>
      </c>
      <c r="G12" s="14" t="s">
        <v>92</v>
      </c>
      <c r="H12" s="16">
        <f>IF(COUNTIF('INTER-1 Students'!$E$6:$E$42,A12)=0,"",COUNTIF('INTER-1 Students'!$E$6:$E$42,A12))</f>
        <v>2</v>
      </c>
    </row>
    <row r="13" ht="72.75" customHeight="1">
      <c r="A13" s="13"/>
      <c r="B13" s="14" t="s">
        <v>118</v>
      </c>
      <c r="C13" s="14" t="s">
        <v>119</v>
      </c>
      <c r="D13" s="19"/>
      <c r="F13" s="20" t="s">
        <v>120</v>
      </c>
      <c r="G13" s="14" t="s">
        <v>98</v>
      </c>
      <c r="H13" s="18">
        <v>3.0</v>
      </c>
    </row>
    <row r="14" ht="72.75" customHeight="1">
      <c r="A14" s="13">
        <v>8.0</v>
      </c>
      <c r="B14" s="14" t="s">
        <v>121</v>
      </c>
      <c r="C14" s="19" t="s">
        <v>38</v>
      </c>
      <c r="D14" s="19"/>
      <c r="E14" s="14" t="s">
        <v>122</v>
      </c>
      <c r="F14" s="19"/>
      <c r="G14" s="14" t="s">
        <v>98</v>
      </c>
      <c r="H14" s="18">
        <v>5.0</v>
      </c>
    </row>
    <row r="16">
      <c r="A16" s="2" t="s">
        <v>123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H6:H14">
    <cfRule type="expression" dxfId="0" priority="1">
      <formula>AND(H6&lt;&gt;"",H6&gt;=4,H6&lt;=5)</formula>
    </cfRule>
  </conditionalFormatting>
  <conditionalFormatting sqref="H6:H14">
    <cfRule type="expression" dxfId="1" priority="2">
      <formula>AND(H6&lt;&gt;"",OR(H6&lt;4,H6&gt;5))</formula>
    </cfRule>
  </conditionalFormatting>
  <conditionalFormatting sqref="D6:D14 C14">
    <cfRule type="expression" dxfId="1" priority="3">
      <formula>AND(LEFT(C6,3)="Own",D6="")</formula>
    </cfRule>
  </conditionalFormatting>
  <dataValidations>
    <dataValidation type="list" allowBlank="1" sqref="C6:C12">
      <formula1>Projects!$B$5:$B$13</formula1>
    </dataValidation>
    <dataValidation type="list" allowBlank="1" sqref="G6:G14">
      <formula1>"yes,no"</formula1>
    </dataValidation>
  </dataValidations>
  <hyperlinks>
    <hyperlink r:id="rId1" ref="F6"/>
    <hyperlink r:id="rId2" ref="F7"/>
    <hyperlink r:id="rId3" ref="F8"/>
    <hyperlink r:id="rId4" ref="F9"/>
    <hyperlink r:id="rId5" ref="F11"/>
    <hyperlink r:id="rId6" ref="F12"/>
    <hyperlink r:id="rId7" ref="F13"/>
  </hyperlinks>
  <printOptions/>
  <pageMargins bottom="1.0" footer="0.0" header="0.0" left="0.75" right="0.75" top="1.0"/>
  <pageSetup fitToHeight="0" paperSize="9" orientation="landscape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35CA0"/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20.0"/>
    <col customWidth="1" min="4" max="4" width="32.0"/>
    <col customWidth="1" min="5" max="5" width="9.0"/>
    <col customWidth="1" min="6" max="6" width="20.0"/>
    <col customWidth="1" min="7" max="7" width="52.0"/>
    <col customWidth="1" min="8" max="8" width="24.0"/>
    <col customWidth="1" min="9" max="26" width="8.71"/>
  </cols>
  <sheetData>
    <row r="1">
      <c r="A1" s="1" t="s">
        <v>124</v>
      </c>
    </row>
    <row r="2">
      <c r="A2" s="2" t="s">
        <v>125</v>
      </c>
    </row>
    <row r="4" ht="31.5" customHeight="1">
      <c r="A4" s="6" t="s">
        <v>126</v>
      </c>
      <c r="B4" s="6" t="s">
        <v>127</v>
      </c>
      <c r="C4" s="6" t="s">
        <v>128</v>
      </c>
      <c r="D4" s="6" t="s">
        <v>129</v>
      </c>
      <c r="E4" s="6" t="s">
        <v>80</v>
      </c>
      <c r="F4" s="6" t="s">
        <v>130</v>
      </c>
      <c r="G4" s="6" t="s">
        <v>131</v>
      </c>
      <c r="H4" s="6" t="s">
        <v>132</v>
      </c>
    </row>
    <row r="5">
      <c r="A5" s="21" t="s">
        <v>88</v>
      </c>
      <c r="B5" s="21" t="s">
        <v>133</v>
      </c>
      <c r="C5" s="21" t="s">
        <v>134</v>
      </c>
      <c r="D5" s="21" t="s">
        <v>135</v>
      </c>
      <c r="E5" s="21">
        <v>1.0</v>
      </c>
      <c r="F5" s="21" t="s">
        <v>136</v>
      </c>
      <c r="G5" s="21" t="s">
        <v>137</v>
      </c>
      <c r="H5" s="21" t="s">
        <v>138</v>
      </c>
    </row>
    <row r="6">
      <c r="A6" s="22">
        <v>1.0</v>
      </c>
      <c r="B6" s="23" t="s">
        <v>139</v>
      </c>
      <c r="C6" s="23" t="s">
        <v>140</v>
      </c>
      <c r="D6" s="23" t="s">
        <v>141</v>
      </c>
      <c r="E6" s="24">
        <v>7.0</v>
      </c>
      <c r="F6" s="23" t="s">
        <v>142</v>
      </c>
      <c r="G6" s="25" t="str">
        <f t="array" ref="G6">IF($E6="","",IFERROR(IF(INDEX('INTER-1 Teams'!$C$6:$C$14,MATCH($E6,'INTER-1 Teams'!$A$6:$A$14,0))="","— team row not filled yet —",INDEX('INTER-1 Teams'!$C$6:$C$14,MATCH($E6,'INTER-1 Teams'!$A$6:$A$14,0))),"— check the team number —"))</f>
        <v>P8 · Voice-of-customer synthesis — hospitality-tech SaaS</v>
      </c>
      <c r="H6" s="25" t="str">
        <f t="array" ref="H6">IF($E6="","",IFERROR(IF(INDEX('INTER-1 Teams'!$B$6:$B$14,MATCH($E6,'INTER-1 Teams'!$A$6:$A$14,0))="","",INDEX('INTER-1 Teams'!$B$6:$B$14,MATCH($E6,'INTER-1 Teams'!$A$6:$A$14,0))),""))</f>
        <v>Team 7</v>
      </c>
    </row>
    <row r="7">
      <c r="A7" s="22">
        <v>2.0</v>
      </c>
      <c r="B7" s="23" t="s">
        <v>143</v>
      </c>
      <c r="C7" s="23" t="s">
        <v>144</v>
      </c>
      <c r="D7" s="23" t="s">
        <v>145</v>
      </c>
      <c r="E7" s="24">
        <v>8.0</v>
      </c>
      <c r="F7" s="23" t="s">
        <v>146</v>
      </c>
      <c r="G7" s="25" t="str">
        <f t="array" ref="G7">IF($E7="","",IFERROR(IF(INDEX('INTER-1 Teams'!$C$6:$C$14,MATCH($E7,'INTER-1 Teams'!$A$6:$A$14,0))="","— team row not filled yet —",INDEX('INTER-1 Teams'!$C$6:$C$14,MATCH($E7,'INTER-1 Teams'!$A$6:$A$14,0))),"— check the team number —"))</f>
        <v>P3 · Proactive incident communicator — DevOps SaaS</v>
      </c>
      <c r="H7" s="25" t="str">
        <f t="array" ref="H7">IF($E7="","",IFERROR(IF(INDEX('INTER-1 Teams'!$B$6:$B$14,MATCH($E7,'INTER-1 Teams'!$A$6:$A$14,0))="","",INDEX('INTER-1 Teams'!$B$6:$B$14,MATCH($E7,'INTER-1 Teams'!$A$6:$A$14,0))),""))</f>
        <v>Till Lüder Evaluna Barth Benjamin Rasson Teo Desquatrevaux Coline Renauld</v>
      </c>
    </row>
    <row r="8">
      <c r="A8" s="22">
        <v>3.0</v>
      </c>
      <c r="B8" s="23" t="s">
        <v>147</v>
      </c>
      <c r="C8" s="23" t="s">
        <v>148</v>
      </c>
      <c r="D8" s="23" t="s">
        <v>149</v>
      </c>
      <c r="E8" s="24">
        <v>2.0</v>
      </c>
      <c r="F8" s="23" t="s">
        <v>150</v>
      </c>
      <c r="G8" s="25" t="str">
        <f t="array" ref="G8">IF($E8="","",IFERROR(IF(INDEX('INTER-1 Teams'!$C$6:$C$14,MATCH($E8,'INTER-1 Teams'!$A$6:$A$14,0))="","— team row not filled yet —",INDEX('INTER-1 Teams'!$C$6:$C$14,MATCH($E8,'INTER-1 Teams'!$A$6:$A$14,0))),"— check the team number —"))</f>
        <v>Own project (bring your own — 00_pitch.md before Session 3)</v>
      </c>
      <c r="H8" s="25" t="str">
        <f t="array" ref="H8">IF($E8="","",IFERROR(IF(INDEX('INTER-1 Teams'!$B$6:$B$14,MATCH($E8,'INTER-1 Teams'!$A$6:$A$14,0))="","",INDEX('INTER-1 Teams'!$B$6:$B$14,MATCH($E8,'INTER-1 Teams'!$A$6:$A$14,0))),""))</f>
        <v>Lucas Duthu-Paloumet
Mathilde Maudet
Emma Neumayer
Laura Oldakowski
Ariane Boulet</v>
      </c>
    </row>
    <row r="9">
      <c r="A9" s="22">
        <v>4.0</v>
      </c>
      <c r="B9" s="23" t="s">
        <v>151</v>
      </c>
      <c r="C9" s="23" t="s">
        <v>152</v>
      </c>
      <c r="D9" s="23" t="s">
        <v>153</v>
      </c>
      <c r="E9" s="24">
        <v>8.0</v>
      </c>
      <c r="F9" s="23" t="s">
        <v>154</v>
      </c>
      <c r="G9" s="25" t="str">
        <f t="array" ref="G9">IF($E9="","",IFERROR(IF(INDEX('INTER-1 Teams'!$C$6:$C$14,MATCH($E9,'INTER-1 Teams'!$A$6:$A$14,0))="","— team row not filled yet —",INDEX('INTER-1 Teams'!$C$6:$C$14,MATCH($E9,'INTER-1 Teams'!$A$6:$A$14,0))),"— check the team number —"))</f>
        <v>P3 · Proactive incident communicator — DevOps SaaS</v>
      </c>
      <c r="H9" s="25" t="str">
        <f t="array" ref="H9">IF($E9="","",IFERROR(IF(INDEX('INTER-1 Teams'!$B$6:$B$14,MATCH($E9,'INTER-1 Teams'!$A$6:$A$14,0))="","",INDEX('INTER-1 Teams'!$B$6:$B$14,MATCH($E9,'INTER-1 Teams'!$A$6:$A$14,0))),""))</f>
        <v>Till Lüder Evaluna Barth Benjamin Rasson Teo Desquatrevaux Coline Renauld</v>
      </c>
    </row>
    <row r="10">
      <c r="A10" s="22">
        <v>5.0</v>
      </c>
      <c r="B10" s="26"/>
      <c r="C10" s="26"/>
      <c r="D10" s="26"/>
      <c r="E10" s="27"/>
      <c r="F10" s="26"/>
      <c r="G10" s="25" t="str">
        <f t="array" ref="G10">IF($E10="","",IFERROR(IF(INDEX('INTER-1 Teams'!$C$6:$C$14,MATCH($E10,'INTER-1 Teams'!$A$6:$A$14,0))="","— team row not filled yet —",INDEX('INTER-1 Teams'!$C$6:$C$14,MATCH($E10,'INTER-1 Teams'!$A$6:$A$14,0))),"— check the team number —"))</f>
        <v/>
      </c>
      <c r="H10" s="25" t="str">
        <f t="array" ref="H10">IF($E10="","",IFERROR(IF(INDEX('INTER-1 Teams'!$B$6:$B$14,MATCH($E10,'INTER-1 Teams'!$A$6:$A$14,0))="","",INDEX('INTER-1 Teams'!$B$6:$B$14,MATCH($E10,'INTER-1 Teams'!$A$6:$A$14,0))),""))</f>
        <v/>
      </c>
    </row>
    <row r="11">
      <c r="A11" s="22">
        <v>6.0</v>
      </c>
      <c r="B11" s="23" t="s">
        <v>155</v>
      </c>
      <c r="C11" s="23" t="s">
        <v>156</v>
      </c>
      <c r="D11" s="23" t="s">
        <v>157</v>
      </c>
      <c r="E11" s="24">
        <v>1.0</v>
      </c>
      <c r="F11" s="23" t="s">
        <v>158</v>
      </c>
      <c r="G11" s="25" t="str">
        <f t="array" ref="G11">IF($E11="","",IFERROR(IF(INDEX('INTER-1 Teams'!$C$6:$C$14,MATCH($E11,'INTER-1 Teams'!$A$6:$A$14,0))="","— team row not filled yet —",INDEX('INTER-1 Teams'!$C$6:$C$14,MATCH($E11,'INTER-1 Teams'!$A$6:$A$14,0))),"— check the team number —"))</f>
        <v>Own project (bring your own — 00_pitch.md before Session 3)</v>
      </c>
      <c r="H11" s="25" t="str">
        <f t="array" ref="H11">IF($E11="","",IFERROR(IF(INDEX('INTER-1 Teams'!$B$6:$B$14,MATCH($E11,'INTER-1 Teams'!$A$6:$A$14,0))="","",INDEX('INTER-1 Teams'!$B$6:$B$14,MATCH($E11,'INTER-1 Teams'!$A$6:$A$14,0))),""))</f>
        <v>Team Montagne</v>
      </c>
    </row>
    <row r="12">
      <c r="A12" s="22">
        <v>7.0</v>
      </c>
      <c r="B12" s="23" t="s">
        <v>159</v>
      </c>
      <c r="C12" s="23" t="s">
        <v>160</v>
      </c>
      <c r="D12" s="23" t="s">
        <v>161</v>
      </c>
      <c r="E12" s="24">
        <v>1.0</v>
      </c>
      <c r="F12" s="23" t="s">
        <v>162</v>
      </c>
      <c r="G12" s="25" t="str">
        <f t="array" ref="G12">IF($E12="","",IFERROR(IF(INDEX('INTER-1 Teams'!$C$6:$C$14,MATCH($E12,'INTER-1 Teams'!$A$6:$A$14,0))="","— team row not filled yet —",INDEX('INTER-1 Teams'!$C$6:$C$14,MATCH($E12,'INTER-1 Teams'!$A$6:$A$14,0))),"— check the team number —"))</f>
        <v>Own project (bring your own — 00_pitch.md before Session 3)</v>
      </c>
      <c r="H12" s="25" t="str">
        <f t="array" ref="H12">IF($E12="","",IFERROR(IF(INDEX('INTER-1 Teams'!$B$6:$B$14,MATCH($E12,'INTER-1 Teams'!$A$6:$A$14,0))="","",INDEX('INTER-1 Teams'!$B$6:$B$14,MATCH($E12,'INTER-1 Teams'!$A$6:$A$14,0))),""))</f>
        <v>Team Montagne</v>
      </c>
    </row>
    <row r="13">
      <c r="A13" s="22">
        <v>8.0</v>
      </c>
      <c r="B13" s="23" t="s">
        <v>163</v>
      </c>
      <c r="C13" s="23" t="s">
        <v>164</v>
      </c>
      <c r="D13" s="23" t="s">
        <v>165</v>
      </c>
      <c r="E13" s="24">
        <v>1.0</v>
      </c>
      <c r="F13" s="23" t="s">
        <v>166</v>
      </c>
      <c r="G13" s="25" t="str">
        <f t="array" ref="G13">IF($E13="","",IFERROR(IF(INDEX('INTER-1 Teams'!$C$6:$C$14,MATCH($E13,'INTER-1 Teams'!$A$6:$A$14,0))="","— team row not filled yet —",INDEX('INTER-1 Teams'!$C$6:$C$14,MATCH($E13,'INTER-1 Teams'!$A$6:$A$14,0))),"— check the team number —"))</f>
        <v>Own project (bring your own — 00_pitch.md before Session 3)</v>
      </c>
      <c r="H13" s="25" t="str">
        <f t="array" ref="H13">IF($E13="","",IFERROR(IF(INDEX('INTER-1 Teams'!$B$6:$B$14,MATCH($E13,'INTER-1 Teams'!$A$6:$A$14,0))="","",INDEX('INTER-1 Teams'!$B$6:$B$14,MATCH($E13,'INTER-1 Teams'!$A$6:$A$14,0))),""))</f>
        <v>Team Montagne</v>
      </c>
    </row>
    <row r="14">
      <c r="A14" s="22">
        <v>9.0</v>
      </c>
      <c r="B14" s="23" t="s">
        <v>167</v>
      </c>
      <c r="C14" s="23" t="s">
        <v>168</v>
      </c>
      <c r="D14" s="23" t="s">
        <v>169</v>
      </c>
      <c r="E14" s="24">
        <v>1.0</v>
      </c>
      <c r="F14" s="23" t="s">
        <v>170</v>
      </c>
      <c r="G14" s="25" t="str">
        <f t="array" ref="G14">IF($E14="","",IFERROR(IF(INDEX('INTER-1 Teams'!$C$6:$C$14,MATCH($E14,'INTER-1 Teams'!$A$6:$A$14,0))="","— team row not filled yet —",INDEX('INTER-1 Teams'!$C$6:$C$14,MATCH($E14,'INTER-1 Teams'!$A$6:$A$14,0))),"— check the team number —"))</f>
        <v>Own project (bring your own — 00_pitch.md before Session 3)</v>
      </c>
      <c r="H14" s="25" t="str">
        <f t="array" ref="H14">IF($E14="","",IFERROR(IF(INDEX('INTER-1 Teams'!$B$6:$B$14,MATCH($E14,'INTER-1 Teams'!$A$6:$A$14,0))="","",INDEX('INTER-1 Teams'!$B$6:$B$14,MATCH($E14,'INTER-1 Teams'!$A$6:$A$14,0))),""))</f>
        <v>Team Montagne</v>
      </c>
    </row>
    <row r="15">
      <c r="A15" s="22">
        <v>10.0</v>
      </c>
      <c r="B15" s="23" t="s">
        <v>171</v>
      </c>
      <c r="C15" s="23" t="s">
        <v>172</v>
      </c>
      <c r="D15" s="23" t="s">
        <v>173</v>
      </c>
      <c r="E15" s="24">
        <v>1.0</v>
      </c>
      <c r="F15" s="23" t="s">
        <v>174</v>
      </c>
      <c r="G15" s="25" t="str">
        <f t="array" ref="G15">IF($E15="","",IFERROR(IF(INDEX('INTER-1 Teams'!$C$6:$C$14,MATCH($E15,'INTER-1 Teams'!$A$6:$A$14,0))="","— team row not filled yet —",INDEX('INTER-1 Teams'!$C$6:$C$14,MATCH($E15,'INTER-1 Teams'!$A$6:$A$14,0))),"— check the team number —"))</f>
        <v>Own project (bring your own — 00_pitch.md before Session 3)</v>
      </c>
      <c r="H15" s="25" t="str">
        <f t="array" ref="H15">IF($E15="","",IFERROR(IF(INDEX('INTER-1 Teams'!$B$6:$B$14,MATCH($E15,'INTER-1 Teams'!$A$6:$A$14,0))="","",INDEX('INTER-1 Teams'!$B$6:$B$14,MATCH($E15,'INTER-1 Teams'!$A$6:$A$14,0))),""))</f>
        <v>Team Montagne</v>
      </c>
    </row>
    <row r="16">
      <c r="A16" s="22">
        <v>11.0</v>
      </c>
      <c r="B16" s="23" t="s">
        <v>175</v>
      </c>
      <c r="C16" s="23" t="s">
        <v>176</v>
      </c>
      <c r="D16" s="23" t="s">
        <v>177</v>
      </c>
      <c r="E16" s="24">
        <v>3.0</v>
      </c>
      <c r="F16" s="23" t="s">
        <v>178</v>
      </c>
      <c r="G16" s="25" t="str">
        <f t="array" ref="G16">IF($E16="","",IFERROR(IF(INDEX('INTER-1 Teams'!$C$6:$C$14,MATCH($E16,'INTER-1 Teams'!$A$6:$A$14,0))="","— team row not filled yet —",INDEX('INTER-1 Teams'!$C$6:$C$14,MATCH($E16,'INTER-1 Teams'!$A$6:$A$14,0))),"— check the team number —"))</f>
        <v>P6 · Churn-prevention support agent — project-management SaaS</v>
      </c>
      <c r="H16" s="25" t="str">
        <f t="array" ref="H16">IF($E16="","",IFERROR(IF(INDEX('INTER-1 Teams'!$B$6:$B$14,MATCH($E16,'INTER-1 Teams'!$A$6:$A$14,0))="","",INDEX('INTER-1 Teams'!$B$6:$B$14,MATCH($E16,'INTER-1 Teams'!$A$6:$A$14,0))),""))</f>
        <v>Viviam Baiz 
Hoang Ngoc
Miguel Negron
Clara Chaume</v>
      </c>
    </row>
    <row r="17">
      <c r="A17" s="22">
        <v>12.0</v>
      </c>
      <c r="B17" s="23" t="s">
        <v>179</v>
      </c>
      <c r="C17" s="23" t="s">
        <v>180</v>
      </c>
      <c r="D17" s="23" t="s">
        <v>181</v>
      </c>
      <c r="E17" s="24">
        <v>3.0</v>
      </c>
      <c r="F17" s="23" t="s">
        <v>182</v>
      </c>
      <c r="G17" s="25" t="str">
        <f t="array" ref="G17">IF($E17="","",IFERROR(IF(INDEX('INTER-1 Teams'!$C$6:$C$14,MATCH($E17,'INTER-1 Teams'!$A$6:$A$14,0))="","— team row not filled yet —",INDEX('INTER-1 Teams'!$C$6:$C$14,MATCH($E17,'INTER-1 Teams'!$A$6:$A$14,0))),"— check the team number —"))</f>
        <v>P6 · Churn-prevention support agent — project-management SaaS</v>
      </c>
      <c r="H17" s="25" t="str">
        <f t="array" ref="H17">IF($E17="","",IFERROR(IF(INDEX('INTER-1 Teams'!$B$6:$B$14,MATCH($E17,'INTER-1 Teams'!$A$6:$A$14,0))="","",INDEX('INTER-1 Teams'!$B$6:$B$14,MATCH($E17,'INTER-1 Teams'!$A$6:$A$14,0))),""))</f>
        <v>Viviam Baiz 
Hoang Ngoc
Miguel Negron
Clara Chaume</v>
      </c>
    </row>
    <row r="18">
      <c r="A18" s="22">
        <v>13.0</v>
      </c>
      <c r="B18" s="23" t="s">
        <v>183</v>
      </c>
      <c r="C18" s="23" t="s">
        <v>184</v>
      </c>
      <c r="D18" s="23" t="s">
        <v>185</v>
      </c>
      <c r="E18" s="24">
        <v>3.0</v>
      </c>
      <c r="F18" s="23" t="s">
        <v>178</v>
      </c>
      <c r="G18" s="25" t="str">
        <f t="array" ref="G18">IF($E18="","",IFERROR(IF(INDEX('INTER-1 Teams'!$C$6:$C$14,MATCH($E18,'INTER-1 Teams'!$A$6:$A$14,0))="","— team row not filled yet —",INDEX('INTER-1 Teams'!$C$6:$C$14,MATCH($E18,'INTER-1 Teams'!$A$6:$A$14,0))),"— check the team number —"))</f>
        <v>P6 · Churn-prevention support agent — project-management SaaS</v>
      </c>
      <c r="H18" s="25" t="str">
        <f t="array" ref="H18">IF($E18="","",IFERROR(IF(INDEX('INTER-1 Teams'!$B$6:$B$14,MATCH($E18,'INTER-1 Teams'!$A$6:$A$14,0))="","",INDEX('INTER-1 Teams'!$B$6:$B$14,MATCH($E18,'INTER-1 Teams'!$A$6:$A$14,0))),""))</f>
        <v>Viviam Baiz 
Hoang Ngoc
Miguel Negron
Clara Chaume</v>
      </c>
    </row>
    <row r="19">
      <c r="A19" s="22">
        <v>14.0</v>
      </c>
      <c r="B19" s="23" t="s">
        <v>186</v>
      </c>
      <c r="C19" s="23" t="s">
        <v>187</v>
      </c>
      <c r="D19" s="23" t="s">
        <v>188</v>
      </c>
      <c r="E19" s="24">
        <v>3.0</v>
      </c>
      <c r="F19" s="23" t="s">
        <v>178</v>
      </c>
      <c r="G19" s="25" t="str">
        <f t="array" ref="G19">IF($E19="","",IFERROR(IF(INDEX('INTER-1 Teams'!$C$6:$C$14,MATCH($E19,'INTER-1 Teams'!$A$6:$A$14,0))="","— team row not filled yet —",INDEX('INTER-1 Teams'!$C$6:$C$14,MATCH($E19,'INTER-1 Teams'!$A$6:$A$14,0))),"— check the team number —"))</f>
        <v>P6 · Churn-prevention support agent — project-management SaaS</v>
      </c>
      <c r="H19" s="25" t="str">
        <f t="array" ref="H19">IF($E19="","",IFERROR(IF(INDEX('INTER-1 Teams'!$B$6:$B$14,MATCH($E19,'INTER-1 Teams'!$A$6:$A$14,0))="","",INDEX('INTER-1 Teams'!$B$6:$B$14,MATCH($E19,'INTER-1 Teams'!$A$6:$A$14,0))),""))</f>
        <v>Viviam Baiz 
Hoang Ngoc
Miguel Negron
Clara Chaume</v>
      </c>
    </row>
    <row r="20">
      <c r="A20" s="22"/>
      <c r="B20" s="23"/>
      <c r="C20" s="23"/>
      <c r="D20" s="23"/>
      <c r="E20" s="24"/>
      <c r="F20" s="23"/>
      <c r="G20" s="25"/>
      <c r="H20" s="25"/>
    </row>
    <row r="21">
      <c r="A21" s="22">
        <v>15.0</v>
      </c>
      <c r="B21" s="23" t="s">
        <v>189</v>
      </c>
      <c r="C21" s="23" t="s">
        <v>190</v>
      </c>
      <c r="D21" s="23" t="s">
        <v>191</v>
      </c>
      <c r="E21" s="24">
        <v>7.0</v>
      </c>
      <c r="F21" s="23" t="s">
        <v>192</v>
      </c>
      <c r="G21" s="25" t="str">
        <f t="array" ref="G21">IF($E21="","",IFERROR(IF(INDEX('INTER-1 Teams'!$C$6:$C$14,MATCH($E21,'INTER-1 Teams'!$A$6:$A$14,0))="","— team row not filled yet —",INDEX('INTER-1 Teams'!$C$6:$C$14,MATCH($E21,'INTER-1 Teams'!$A$6:$A$14,0))),"— check the team number —"))</f>
        <v>P8 · Voice-of-customer synthesis — hospitality-tech SaaS</v>
      </c>
      <c r="H21" s="25" t="str">
        <f t="array" ref="H21">IF($E21="","",IFERROR(IF(INDEX('INTER-1 Teams'!$B$6:$B$14,MATCH($E21,'INTER-1 Teams'!$A$6:$A$14,0))="","",INDEX('INTER-1 Teams'!$B$6:$B$14,MATCH($E21,'INTER-1 Teams'!$A$6:$A$14,0))),""))</f>
        <v>Team 7</v>
      </c>
    </row>
    <row r="22" ht="15.75" customHeight="1">
      <c r="A22" s="22">
        <v>16.0</v>
      </c>
      <c r="B22" s="23" t="s">
        <v>193</v>
      </c>
      <c r="C22" s="23" t="s">
        <v>194</v>
      </c>
      <c r="D22" s="23" t="s">
        <v>195</v>
      </c>
      <c r="E22" s="24">
        <v>5.0</v>
      </c>
      <c r="F22" s="23" t="s">
        <v>196</v>
      </c>
      <c r="G22" s="25" t="str">
        <f t="array" ref="G22">IF($E22="","",IFERROR(IF(INDEX('INTER-1 Teams'!$C$6:$C$14,MATCH($E22,'INTER-1 Teams'!$A$6:$A$14,0))="","— team row not filled yet —",INDEX('INTER-1 Teams'!$C$6:$C$14,MATCH($E22,'INTER-1 Teams'!$A$6:$A$14,0))),"— check the team number —"))</f>
        <v>P4 · Refund &amp; cancellation agent — e-commerce logistics</v>
      </c>
      <c r="H22" s="25" t="str">
        <f t="array" ref="H22">IF($E22="","",IFERROR(IF(INDEX('INTER-1 Teams'!$B$6:$B$14,MATCH($E22,'INTER-1 Teams'!$A$6:$A$14,0))="","",INDEX('INTER-1 Teams'!$B$6:$B$14,MATCH($E22,'INTER-1 Teams'!$A$6:$A$14,0))),""))</f>
        <v>Clémence Marco
Andrian Raveloarimanga</v>
      </c>
    </row>
    <row r="23" ht="15.75" customHeight="1">
      <c r="A23" s="22">
        <v>17.0</v>
      </c>
      <c r="B23" s="23" t="s">
        <v>197</v>
      </c>
      <c r="C23" s="23" t="s">
        <v>198</v>
      </c>
      <c r="D23" s="23" t="s">
        <v>199</v>
      </c>
      <c r="E23" s="24">
        <v>5.0</v>
      </c>
      <c r="F23" s="23" t="s">
        <v>200</v>
      </c>
      <c r="G23" s="25" t="str">
        <f t="array" ref="G23">IF($E23="","",IFERROR(IF(INDEX('INTER-1 Teams'!$C$6:$C$14,MATCH($E23,'INTER-1 Teams'!$A$6:$A$14,0))="","— team row not filled yet —",INDEX('INTER-1 Teams'!$C$6:$C$14,MATCH($E23,'INTER-1 Teams'!$A$6:$A$14,0))),"— check the team number —"))</f>
        <v>P4 · Refund &amp; cancellation agent — e-commerce logistics</v>
      </c>
      <c r="H23" s="25" t="str">
        <f t="array" ref="H23">IF($E23="","",IFERROR(IF(INDEX('INTER-1 Teams'!$B$6:$B$14,MATCH($E23,'INTER-1 Teams'!$A$6:$A$14,0))="","",INDEX('INTER-1 Teams'!$B$6:$B$14,MATCH($E23,'INTER-1 Teams'!$A$6:$A$14,0))),""))</f>
        <v>Clémence Marco
Andrian Raveloarimanga</v>
      </c>
    </row>
    <row r="24" ht="15.75" customHeight="1">
      <c r="A24" s="22">
        <v>18.0</v>
      </c>
      <c r="B24" s="23" t="s">
        <v>201</v>
      </c>
      <c r="C24" s="23" t="s">
        <v>202</v>
      </c>
      <c r="D24" s="23" t="s">
        <v>203</v>
      </c>
      <c r="E24" s="24">
        <v>2.0</v>
      </c>
      <c r="F24" s="23" t="s">
        <v>204</v>
      </c>
      <c r="G24" s="25" t="str">
        <f t="array" ref="G24">IF($E24="","",IFERROR(IF(INDEX('INTER-1 Teams'!$C$6:$C$14,MATCH($E24,'INTER-1 Teams'!$A$6:$A$14,0))="","— team row not filled yet —",INDEX('INTER-1 Teams'!$C$6:$C$14,MATCH($E24,'INTER-1 Teams'!$A$6:$A$14,0))),"— check the team number —"))</f>
        <v>Own project (bring your own — 00_pitch.md before Session 3)</v>
      </c>
      <c r="H24" s="25" t="str">
        <f t="array" ref="H24">IF($E24="","",IFERROR(IF(INDEX('INTER-1 Teams'!$B$6:$B$14,MATCH($E24,'INTER-1 Teams'!$A$6:$A$14,0))="","",INDEX('INTER-1 Teams'!$B$6:$B$14,MATCH($E24,'INTER-1 Teams'!$A$6:$A$14,0))),""))</f>
        <v>Lucas Duthu-Paloumet
Mathilde Maudet
Emma Neumayer
Laura Oldakowski
Ariane Boulet</v>
      </c>
    </row>
    <row r="25" ht="15.75" customHeight="1">
      <c r="A25" s="22">
        <v>19.0</v>
      </c>
      <c r="B25" s="23" t="s">
        <v>205</v>
      </c>
      <c r="C25" s="23" t="s">
        <v>206</v>
      </c>
      <c r="D25" s="23" t="s">
        <v>207</v>
      </c>
      <c r="E25" s="24">
        <v>4.0</v>
      </c>
      <c r="F25" s="23" t="s">
        <v>208</v>
      </c>
      <c r="G25" s="25" t="str">
        <f t="array" ref="G25">IF($E25="","",IFERROR(IF(INDEX('INTER-1 Teams'!$C$6:$C$14,MATCH($E25,'INTER-1 Teams'!$A$6:$A$14,0))="","— team row not filled yet —",INDEX('INTER-1 Teams'!$C$6:$C$14,MATCH($E25,'INTER-1 Teams'!$A$6:$A$14,0))),"— check the team number —"))</f>
        <v>P2 · Agent-assist copilot — B2B payments fintech</v>
      </c>
      <c r="H25" s="25" t="str">
        <f t="array" ref="H25">IF($E25="","",IFERROR(IF(INDEX('INTER-1 Teams'!$B$6:$B$14,MATCH($E25,'INTER-1 Teams'!$A$6:$A$14,0))="","",INDEX('INTER-1 Teams'!$B$6:$B$14,MATCH($E25,'INTER-1 Teams'!$A$6:$A$14,0))),""))</f>
        <v>Santiago Pastrana
Louise Caquelin
Saumya Joshi
Dhia Ben Cheikh</v>
      </c>
    </row>
    <row r="26" ht="15.75" customHeight="1">
      <c r="A26" s="22">
        <v>20.0</v>
      </c>
      <c r="B26" s="23" t="s">
        <v>209</v>
      </c>
      <c r="C26" s="23" t="s">
        <v>210</v>
      </c>
      <c r="D26" s="23" t="s">
        <v>211</v>
      </c>
      <c r="E26" s="24">
        <v>4.0</v>
      </c>
      <c r="F26" s="26"/>
      <c r="G26" s="25" t="str">
        <f t="array" ref="G26">IF($E26="","",IFERROR(IF(INDEX('INTER-1 Teams'!$C$6:$C$14,MATCH($E26,'INTER-1 Teams'!$A$6:$A$14,0))="","— team row not filled yet —",INDEX('INTER-1 Teams'!$C$6:$C$14,MATCH($E26,'INTER-1 Teams'!$A$6:$A$14,0))),"— check the team number —"))</f>
        <v>P2 · Agent-assist copilot — B2B payments fintech</v>
      </c>
      <c r="H26" s="25" t="str">
        <f t="array" ref="H26">IF($E26="","",IFERROR(IF(INDEX('INTER-1 Teams'!$B$6:$B$14,MATCH($E26,'INTER-1 Teams'!$A$6:$A$14,0))="","",INDEX('INTER-1 Teams'!$B$6:$B$14,MATCH($E26,'INTER-1 Teams'!$A$6:$A$14,0))),""))</f>
        <v>Santiago Pastrana
Louise Caquelin
Saumya Joshi
Dhia Ben Cheikh</v>
      </c>
    </row>
    <row r="27" ht="15.75" customHeight="1">
      <c r="A27" s="22">
        <v>21.0</v>
      </c>
      <c r="B27" s="26"/>
      <c r="C27" s="26"/>
      <c r="D27" s="26"/>
      <c r="E27" s="27"/>
      <c r="F27" s="26"/>
      <c r="G27" s="25" t="str">
        <f t="array" ref="G27">IF($E27="","",IFERROR(IF(INDEX('INTER-1 Teams'!$C$6:$C$14,MATCH($E27,'INTER-1 Teams'!$A$6:$A$14,0))="","— team row not filled yet —",INDEX('INTER-1 Teams'!$C$6:$C$14,MATCH($E27,'INTER-1 Teams'!$A$6:$A$14,0))),"— check the team number —"))</f>
        <v/>
      </c>
      <c r="H27" s="25" t="str">
        <f t="array" ref="H27">IF($E27="","",IFERROR(IF(INDEX('INTER-1 Teams'!$B$6:$B$14,MATCH($E27,'INTER-1 Teams'!$A$6:$A$14,0))="","",INDEX('INTER-1 Teams'!$B$6:$B$14,MATCH($E27,'INTER-1 Teams'!$A$6:$A$14,0))),""))</f>
        <v/>
      </c>
    </row>
    <row r="28" ht="15.75" customHeight="1">
      <c r="A28" s="22">
        <v>22.0</v>
      </c>
      <c r="B28" s="26"/>
      <c r="C28" s="26"/>
      <c r="D28" s="26"/>
      <c r="E28" s="27"/>
      <c r="F28" s="26"/>
      <c r="G28" s="25" t="str">
        <f t="array" ref="G28">IF($E28="","",IFERROR(IF(INDEX('INTER-1 Teams'!$C$6:$C$14,MATCH($E28,'INTER-1 Teams'!$A$6:$A$14,0))="","— team row not filled yet —",INDEX('INTER-1 Teams'!$C$6:$C$14,MATCH($E28,'INTER-1 Teams'!$A$6:$A$14,0))),"— check the team number —"))</f>
        <v/>
      </c>
      <c r="H28" s="25" t="str">
        <f t="array" ref="H28">IF($E28="","",IFERROR(IF(INDEX('INTER-1 Teams'!$B$6:$B$14,MATCH($E28,'INTER-1 Teams'!$A$6:$A$14,0))="","",INDEX('INTER-1 Teams'!$B$6:$B$14,MATCH($E28,'INTER-1 Teams'!$A$6:$A$14,0))),""))</f>
        <v/>
      </c>
    </row>
    <row r="29" ht="15.75" customHeight="1">
      <c r="A29" s="22">
        <v>23.0</v>
      </c>
      <c r="B29" s="26"/>
      <c r="C29" s="26"/>
      <c r="D29" s="26"/>
      <c r="E29" s="27"/>
      <c r="F29" s="26"/>
      <c r="G29" s="25" t="str">
        <f t="array" ref="G29">IF($E29="","",IFERROR(IF(INDEX('INTER-1 Teams'!$C$6:$C$14,MATCH($E29,'INTER-1 Teams'!$A$6:$A$14,0))="","— team row not filled yet —",INDEX('INTER-1 Teams'!$C$6:$C$14,MATCH($E29,'INTER-1 Teams'!$A$6:$A$14,0))),"— check the team number —"))</f>
        <v/>
      </c>
      <c r="H29" s="25" t="str">
        <f t="array" ref="H29">IF($E29="","",IFERROR(IF(INDEX('INTER-1 Teams'!$B$6:$B$14,MATCH($E29,'INTER-1 Teams'!$A$6:$A$14,0))="","",INDEX('INTER-1 Teams'!$B$6:$B$14,MATCH($E29,'INTER-1 Teams'!$A$6:$A$14,0))),""))</f>
        <v/>
      </c>
    </row>
    <row r="30" ht="15.75" customHeight="1">
      <c r="A30" s="22">
        <v>24.0</v>
      </c>
      <c r="B30" s="26"/>
      <c r="C30" s="26"/>
      <c r="D30" s="26"/>
      <c r="E30" s="27"/>
      <c r="F30" s="26"/>
      <c r="G30" s="25" t="str">
        <f t="array" ref="G30">IF($E30="","",IFERROR(IF(INDEX('INTER-1 Teams'!$C$6:$C$14,MATCH($E30,'INTER-1 Teams'!$A$6:$A$14,0))="","— team row not filled yet —",INDEX('INTER-1 Teams'!$C$6:$C$14,MATCH($E30,'INTER-1 Teams'!$A$6:$A$14,0))),"— check the team number —"))</f>
        <v/>
      </c>
      <c r="H30" s="25" t="str">
        <f t="array" ref="H30">IF($E30="","",IFERROR(IF(INDEX('INTER-1 Teams'!$B$6:$B$14,MATCH($E30,'INTER-1 Teams'!$A$6:$A$14,0))="","",INDEX('INTER-1 Teams'!$B$6:$B$14,MATCH($E30,'INTER-1 Teams'!$A$6:$A$14,0))),""))</f>
        <v/>
      </c>
    </row>
    <row r="31" ht="15.75" customHeight="1">
      <c r="A31" s="22">
        <v>25.0</v>
      </c>
      <c r="B31" s="26"/>
      <c r="C31" s="26"/>
      <c r="D31" s="26"/>
      <c r="E31" s="27"/>
      <c r="F31" s="26"/>
      <c r="G31" s="25" t="str">
        <f t="array" ref="G31">IF($E31="","",IFERROR(IF(INDEX('INTER-1 Teams'!$C$6:$C$14,MATCH($E31,'INTER-1 Teams'!$A$6:$A$14,0))="","— team row not filled yet —",INDEX('INTER-1 Teams'!$C$6:$C$14,MATCH($E31,'INTER-1 Teams'!$A$6:$A$14,0))),"— check the team number —"))</f>
        <v/>
      </c>
      <c r="H31" s="25" t="str">
        <f t="array" ref="H31">IF($E31="","",IFERROR(IF(INDEX('INTER-1 Teams'!$B$6:$B$14,MATCH($E31,'INTER-1 Teams'!$A$6:$A$14,0))="","",INDEX('INTER-1 Teams'!$B$6:$B$14,MATCH($E31,'INTER-1 Teams'!$A$6:$A$14,0))),""))</f>
        <v/>
      </c>
    </row>
    <row r="32" ht="15.75" customHeight="1">
      <c r="A32" s="22">
        <v>26.0</v>
      </c>
      <c r="B32" s="26"/>
      <c r="C32" s="26"/>
      <c r="D32" s="26"/>
      <c r="E32" s="27"/>
      <c r="F32" s="26"/>
      <c r="G32" s="25" t="str">
        <f t="array" ref="G32">IF($E32="","",IFERROR(IF(INDEX('INTER-1 Teams'!$C$6:$C$14,MATCH($E32,'INTER-1 Teams'!$A$6:$A$14,0))="","— team row not filled yet —",INDEX('INTER-1 Teams'!$C$6:$C$14,MATCH($E32,'INTER-1 Teams'!$A$6:$A$14,0))),"— check the team number —"))</f>
        <v/>
      </c>
      <c r="H32" s="25" t="str">
        <f t="array" ref="H32">IF($E32="","",IFERROR(IF(INDEX('INTER-1 Teams'!$B$6:$B$14,MATCH($E32,'INTER-1 Teams'!$A$6:$A$14,0))="","",INDEX('INTER-1 Teams'!$B$6:$B$14,MATCH($E32,'INTER-1 Teams'!$A$6:$A$14,0))),""))</f>
        <v/>
      </c>
    </row>
    <row r="33" ht="15.75" customHeight="1">
      <c r="A33" s="22">
        <v>27.0</v>
      </c>
      <c r="B33" s="26"/>
      <c r="C33" s="26"/>
      <c r="D33" s="26"/>
      <c r="E33" s="27"/>
      <c r="F33" s="26"/>
      <c r="G33" s="25" t="str">
        <f t="array" ref="G33">IF($E33="","",IFERROR(IF(INDEX('INTER-1 Teams'!$C$6:$C$14,MATCH($E33,'INTER-1 Teams'!$A$6:$A$14,0))="","— team row not filled yet —",INDEX('INTER-1 Teams'!$C$6:$C$14,MATCH($E33,'INTER-1 Teams'!$A$6:$A$14,0))),"— check the team number —"))</f>
        <v/>
      </c>
      <c r="H33" s="25" t="str">
        <f t="array" ref="H33">IF($E33="","",IFERROR(IF(INDEX('INTER-1 Teams'!$B$6:$B$14,MATCH($E33,'INTER-1 Teams'!$A$6:$A$14,0))="","",INDEX('INTER-1 Teams'!$B$6:$B$14,MATCH($E33,'INTER-1 Teams'!$A$6:$A$14,0))),""))</f>
        <v/>
      </c>
    </row>
    <row r="34" ht="15.75" customHeight="1">
      <c r="A34" s="22">
        <v>28.0</v>
      </c>
      <c r="B34" s="26"/>
      <c r="C34" s="26"/>
      <c r="D34" s="26"/>
      <c r="E34" s="27"/>
      <c r="F34" s="26"/>
      <c r="G34" s="25" t="str">
        <f t="array" ref="G34">IF($E34="","",IFERROR(IF(INDEX('INTER-1 Teams'!$C$6:$C$14,MATCH($E34,'INTER-1 Teams'!$A$6:$A$14,0))="","— team row not filled yet —",INDEX('INTER-1 Teams'!$C$6:$C$14,MATCH($E34,'INTER-1 Teams'!$A$6:$A$14,0))),"— check the team number —"))</f>
        <v/>
      </c>
      <c r="H34" s="25" t="str">
        <f t="array" ref="H34">IF($E34="","",IFERROR(IF(INDEX('INTER-1 Teams'!$B$6:$B$14,MATCH($E34,'INTER-1 Teams'!$A$6:$A$14,0))="","",INDEX('INTER-1 Teams'!$B$6:$B$14,MATCH($E34,'INTER-1 Teams'!$A$6:$A$14,0))),""))</f>
        <v/>
      </c>
    </row>
    <row r="35" ht="15.75" customHeight="1">
      <c r="A35" s="22">
        <v>29.0</v>
      </c>
      <c r="B35" s="26"/>
      <c r="C35" s="26"/>
      <c r="D35" s="26"/>
      <c r="E35" s="27"/>
      <c r="F35" s="26"/>
      <c r="G35" s="25" t="str">
        <f t="array" ref="G35">IF($E35="","",IFERROR(IF(INDEX('INTER-1 Teams'!$C$6:$C$14,MATCH($E35,'INTER-1 Teams'!$A$6:$A$14,0))="","— team row not filled yet —",INDEX('INTER-1 Teams'!$C$6:$C$14,MATCH($E35,'INTER-1 Teams'!$A$6:$A$14,0))),"— check the team number —"))</f>
        <v/>
      </c>
      <c r="H35" s="25" t="str">
        <f t="array" ref="H35">IF($E35="","",IFERROR(IF(INDEX('INTER-1 Teams'!$B$6:$B$14,MATCH($E35,'INTER-1 Teams'!$A$6:$A$14,0))="","",INDEX('INTER-1 Teams'!$B$6:$B$14,MATCH($E35,'INTER-1 Teams'!$A$6:$A$14,0))),""))</f>
        <v/>
      </c>
    </row>
    <row r="36" ht="15.75" customHeight="1">
      <c r="A36" s="22">
        <v>30.0</v>
      </c>
      <c r="B36" s="26"/>
      <c r="C36" s="26"/>
      <c r="D36" s="26"/>
      <c r="E36" s="27"/>
      <c r="F36" s="26"/>
      <c r="G36" s="25" t="str">
        <f t="array" ref="G36">IF($E36="","",IFERROR(IF(INDEX('INTER-1 Teams'!$C$6:$C$14,MATCH($E36,'INTER-1 Teams'!$A$6:$A$14,0))="","— team row not filled yet —",INDEX('INTER-1 Teams'!$C$6:$C$14,MATCH($E36,'INTER-1 Teams'!$A$6:$A$14,0))),"— check the team number —"))</f>
        <v/>
      </c>
      <c r="H36" s="25" t="str">
        <f t="array" ref="H36">IF($E36="","",IFERROR(IF(INDEX('INTER-1 Teams'!$B$6:$B$14,MATCH($E36,'INTER-1 Teams'!$A$6:$A$14,0))="","",INDEX('INTER-1 Teams'!$B$6:$B$14,MATCH($E36,'INTER-1 Teams'!$A$6:$A$14,0))),""))</f>
        <v/>
      </c>
    </row>
    <row r="37" ht="15.75" customHeight="1">
      <c r="A37" s="22">
        <v>31.0</v>
      </c>
      <c r="B37" s="26"/>
      <c r="C37" s="26"/>
      <c r="D37" s="26"/>
      <c r="E37" s="27"/>
      <c r="F37" s="26"/>
      <c r="G37" s="25" t="str">
        <f t="array" ref="G37">IF($E37="","",IFERROR(IF(INDEX('INTER-1 Teams'!$C$6:$C$14,MATCH($E37,'INTER-1 Teams'!$A$6:$A$14,0))="","— team row not filled yet —",INDEX('INTER-1 Teams'!$C$6:$C$14,MATCH($E37,'INTER-1 Teams'!$A$6:$A$14,0))),"— check the team number —"))</f>
        <v/>
      </c>
      <c r="H37" s="25" t="str">
        <f t="array" ref="H37">IF($E37="","",IFERROR(IF(INDEX('INTER-1 Teams'!$B$6:$B$14,MATCH($E37,'INTER-1 Teams'!$A$6:$A$14,0))="","",INDEX('INTER-1 Teams'!$B$6:$B$14,MATCH($E37,'INTER-1 Teams'!$A$6:$A$14,0))),""))</f>
        <v/>
      </c>
    </row>
    <row r="38" ht="15.75" customHeight="1">
      <c r="A38" s="22">
        <v>32.0</v>
      </c>
      <c r="B38" s="26"/>
      <c r="C38" s="26"/>
      <c r="D38" s="26"/>
      <c r="E38" s="27"/>
      <c r="F38" s="26"/>
      <c r="G38" s="25" t="str">
        <f t="array" ref="G38">IF($E38="","",IFERROR(IF(INDEX('INTER-1 Teams'!$C$6:$C$14,MATCH($E38,'INTER-1 Teams'!$A$6:$A$14,0))="","— team row not filled yet —",INDEX('INTER-1 Teams'!$C$6:$C$14,MATCH($E38,'INTER-1 Teams'!$A$6:$A$14,0))),"— check the team number —"))</f>
        <v/>
      </c>
      <c r="H38" s="25" t="str">
        <f t="array" ref="H38">IF($E38="","",IFERROR(IF(INDEX('INTER-1 Teams'!$B$6:$B$14,MATCH($E38,'INTER-1 Teams'!$A$6:$A$14,0))="","",INDEX('INTER-1 Teams'!$B$6:$B$14,MATCH($E38,'INTER-1 Teams'!$A$6:$A$14,0))),""))</f>
        <v/>
      </c>
    </row>
    <row r="39" ht="15.75" customHeight="1">
      <c r="A39" s="22">
        <v>33.0</v>
      </c>
      <c r="B39" s="26"/>
      <c r="C39" s="26"/>
      <c r="D39" s="26"/>
      <c r="E39" s="27"/>
      <c r="F39" s="26"/>
      <c r="G39" s="25" t="str">
        <f t="array" ref="G39">IF($E39="","",IFERROR(IF(INDEX('INTER-1 Teams'!$C$6:$C$14,MATCH($E39,'INTER-1 Teams'!$A$6:$A$14,0))="","— team row not filled yet —",INDEX('INTER-1 Teams'!$C$6:$C$14,MATCH($E39,'INTER-1 Teams'!$A$6:$A$14,0))),"— check the team number —"))</f>
        <v/>
      </c>
      <c r="H39" s="25" t="str">
        <f t="array" ref="H39">IF($E39="","",IFERROR(IF(INDEX('INTER-1 Teams'!$B$6:$B$14,MATCH($E39,'INTER-1 Teams'!$A$6:$A$14,0))="","",INDEX('INTER-1 Teams'!$B$6:$B$14,MATCH($E39,'INTER-1 Teams'!$A$6:$A$14,0))),""))</f>
        <v/>
      </c>
    </row>
    <row r="40" ht="15.75" customHeight="1">
      <c r="A40" s="22">
        <v>34.0</v>
      </c>
      <c r="B40" s="26"/>
      <c r="C40" s="26"/>
      <c r="D40" s="26"/>
      <c r="E40" s="27"/>
      <c r="F40" s="26"/>
      <c r="G40" s="25" t="str">
        <f t="array" ref="G40">IF($E40="","",IFERROR(IF(INDEX('INTER-1 Teams'!$C$6:$C$14,MATCH($E40,'INTER-1 Teams'!$A$6:$A$14,0))="","— team row not filled yet —",INDEX('INTER-1 Teams'!$C$6:$C$14,MATCH($E40,'INTER-1 Teams'!$A$6:$A$14,0))),"— check the team number —"))</f>
        <v/>
      </c>
      <c r="H40" s="25" t="str">
        <f t="array" ref="H40">IF($E40="","",IFERROR(IF(INDEX('INTER-1 Teams'!$B$6:$B$14,MATCH($E40,'INTER-1 Teams'!$A$6:$A$14,0))="","",INDEX('INTER-1 Teams'!$B$6:$B$14,MATCH($E40,'INTER-1 Teams'!$A$6:$A$14,0))),""))</f>
        <v/>
      </c>
    </row>
    <row r="41" ht="15.75" customHeight="1">
      <c r="A41" s="22">
        <v>35.0</v>
      </c>
      <c r="B41" s="26"/>
      <c r="C41" s="26"/>
      <c r="D41" s="26"/>
      <c r="E41" s="27"/>
      <c r="F41" s="26"/>
      <c r="G41" s="25" t="str">
        <f t="array" ref="G41">IF($E41="","",IFERROR(IF(INDEX('INTER-1 Teams'!$C$6:$C$14,MATCH($E41,'INTER-1 Teams'!$A$6:$A$14,0))="","— team row not filled yet —",INDEX('INTER-1 Teams'!$C$6:$C$14,MATCH($E41,'INTER-1 Teams'!$A$6:$A$14,0))),"— check the team number —"))</f>
        <v/>
      </c>
      <c r="H41" s="25" t="str">
        <f t="array" ref="H41">IF($E41="","",IFERROR(IF(INDEX('INTER-1 Teams'!$B$6:$B$14,MATCH($E41,'INTER-1 Teams'!$A$6:$A$14,0))="","",INDEX('INTER-1 Teams'!$B$6:$B$14,MATCH($E41,'INTER-1 Teams'!$A$6:$A$14,0))),""))</f>
        <v/>
      </c>
    </row>
    <row r="42" ht="15.75" customHeight="1">
      <c r="A42" s="22">
        <v>36.0</v>
      </c>
      <c r="B42" s="26"/>
      <c r="C42" s="26"/>
      <c r="D42" s="26"/>
      <c r="E42" s="27"/>
      <c r="F42" s="26"/>
      <c r="G42" s="25" t="str">
        <f t="array" ref="G42">IF($E42="","",IFERROR(IF(INDEX('INTER-1 Teams'!$C$6:$C$14,MATCH($E42,'INTER-1 Teams'!$A$6:$A$14,0))="","— team row not filled yet —",INDEX('INTER-1 Teams'!$C$6:$C$14,MATCH($E42,'INTER-1 Teams'!$A$6:$A$14,0))),"— check the team number —"))</f>
        <v/>
      </c>
      <c r="H42" s="25" t="str">
        <f t="array" ref="H42">IF($E42="","",IFERROR(IF(INDEX('INTER-1 Teams'!$B$6:$B$14,MATCH($E42,'INTER-1 Teams'!$A$6:$A$14,0))="","",INDEX('INTER-1 Teams'!$B$6:$B$14,MATCH($E42,'INTER-1 Teams'!$A$6:$A$14,0))),""))</f>
        <v/>
      </c>
    </row>
    <row r="43" ht="15.75" customHeight="1"/>
    <row r="44" ht="15.75" customHeight="1">
      <c r="A44" s="2" t="s">
        <v>212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6:F42">
    <cfRule type="expression" dxfId="1" priority="1">
      <formula>AND($B6&lt;&gt;"",COUNTIFS($B$6:$B$42,$B6,$C$6:$C$42,$C6)&gt;1)</formula>
    </cfRule>
  </conditionalFormatting>
  <dataValidations>
    <dataValidation type="decimal" allowBlank="1" sqref="E6:E42">
      <formula1>1.0</formula1>
      <formula2>8.0</formula2>
    </dataValidation>
  </dataValidations>
  <printOptions/>
  <pageMargins bottom="1.0" footer="0.0" header="0.0" left="0.75" right="0.75" top="1.0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AEE0"/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4" width="52.0"/>
    <col customWidth="1" min="5" max="5" width="22.0"/>
    <col customWidth="1" min="6" max="6" width="34.0"/>
    <col customWidth="1" min="7" max="7" width="38.14"/>
    <col customWidth="1" min="8" max="8" width="11.0"/>
    <col customWidth="1" min="9" max="26" width="8.71"/>
  </cols>
  <sheetData>
    <row r="1">
      <c r="A1" s="28" t="s">
        <v>213</v>
      </c>
    </row>
    <row r="2">
      <c r="A2" s="2" t="s">
        <v>214</v>
      </c>
    </row>
    <row r="4" ht="31.5" customHeight="1">
      <c r="A4" s="6" t="s">
        <v>80</v>
      </c>
      <c r="B4" s="6" t="s">
        <v>81</v>
      </c>
      <c r="C4" s="6" t="s">
        <v>82</v>
      </c>
      <c r="D4" s="6" t="s">
        <v>83</v>
      </c>
      <c r="E4" s="6" t="s">
        <v>84</v>
      </c>
      <c r="F4" s="6" t="s">
        <v>85</v>
      </c>
      <c r="G4" s="6" t="s">
        <v>86</v>
      </c>
      <c r="H4" s="6" t="s">
        <v>87</v>
      </c>
    </row>
    <row r="5">
      <c r="A5" s="12" t="s">
        <v>88</v>
      </c>
      <c r="B5" s="12" t="s">
        <v>89</v>
      </c>
      <c r="C5" s="12" t="s">
        <v>68</v>
      </c>
      <c r="D5" s="12"/>
      <c r="E5" s="12" t="s">
        <v>90</v>
      </c>
      <c r="F5" s="12" t="s">
        <v>91</v>
      </c>
      <c r="G5" s="12" t="s">
        <v>92</v>
      </c>
      <c r="H5" s="12" t="s">
        <v>93</v>
      </c>
    </row>
    <row r="6" ht="33.75" customHeight="1">
      <c r="A6" s="13">
        <v>1.0</v>
      </c>
      <c r="B6" s="14" t="s">
        <v>215</v>
      </c>
      <c r="C6" s="14" t="s">
        <v>50</v>
      </c>
      <c r="D6" s="19"/>
      <c r="E6" s="14" t="s">
        <v>216</v>
      </c>
      <c r="F6" s="19"/>
      <c r="G6" s="14" t="s">
        <v>217</v>
      </c>
      <c r="H6" s="16">
        <f>IF(COUNTIF('INTER-2 Students'!$E$6:$E$40,A6)=0,"",COUNTIF('INTER-2 Students'!$E$6:$E$40,A6))</f>
        <v>3</v>
      </c>
    </row>
    <row r="7" ht="33.75" customHeight="1">
      <c r="A7" s="13">
        <v>2.0</v>
      </c>
      <c r="B7" s="14" t="s">
        <v>218</v>
      </c>
      <c r="C7" s="14" t="s">
        <v>26</v>
      </c>
      <c r="D7" s="19"/>
      <c r="E7" s="14" t="s">
        <v>219</v>
      </c>
      <c r="F7" s="19"/>
      <c r="G7" s="19"/>
      <c r="H7" s="16">
        <f>IF(COUNTIF('INTER-2 Students'!$E$6:$E$40,A7)=0,"",COUNTIF('INTER-2 Students'!$E$6:$E$40,A7))</f>
        <v>4</v>
      </c>
    </row>
    <row r="8" ht="54.0" customHeight="1">
      <c r="A8" s="13">
        <v>3.0</v>
      </c>
      <c r="B8" s="14" t="s">
        <v>220</v>
      </c>
      <c r="C8" s="14" t="s">
        <v>32</v>
      </c>
      <c r="D8" s="19"/>
      <c r="E8" s="14" t="s">
        <v>221</v>
      </c>
      <c r="F8" s="19"/>
      <c r="G8" s="14" t="s">
        <v>92</v>
      </c>
      <c r="H8" s="18">
        <v>4.0</v>
      </c>
    </row>
    <row r="9" ht="33.75" customHeight="1">
      <c r="A9" s="13">
        <v>4.0</v>
      </c>
      <c r="B9" s="14" t="s">
        <v>222</v>
      </c>
      <c r="C9" s="14" t="s">
        <v>44</v>
      </c>
      <c r="D9" s="19"/>
      <c r="E9" s="14" t="s">
        <v>223</v>
      </c>
      <c r="F9" s="19"/>
      <c r="G9" s="14" t="s">
        <v>92</v>
      </c>
      <c r="H9" s="16">
        <f>IF(COUNTIF('INTER-2 Students'!$E$6:$E$40,A9)=0,"",COUNTIF('INTER-2 Students'!$E$6:$E$40,A9))</f>
        <v>3</v>
      </c>
    </row>
    <row r="10" ht="33.75" customHeight="1">
      <c r="A10" s="13">
        <v>5.0</v>
      </c>
      <c r="B10" s="14" t="s">
        <v>224</v>
      </c>
      <c r="C10" s="14" t="s">
        <v>62</v>
      </c>
      <c r="D10" s="19"/>
      <c r="E10" s="14" t="s">
        <v>225</v>
      </c>
      <c r="F10" s="19"/>
      <c r="G10" s="14" t="s">
        <v>92</v>
      </c>
      <c r="H10" s="18">
        <v>4.0</v>
      </c>
    </row>
    <row r="11" ht="40.5" customHeight="1">
      <c r="A11" s="13">
        <v>6.0</v>
      </c>
      <c r="B11" s="14" t="s">
        <v>226</v>
      </c>
      <c r="C11" s="14" t="s">
        <v>73</v>
      </c>
      <c r="D11" s="14" t="s">
        <v>227</v>
      </c>
      <c r="E11" s="14" t="s">
        <v>228</v>
      </c>
      <c r="F11" s="19"/>
      <c r="G11" s="14" t="s">
        <v>92</v>
      </c>
      <c r="H11" s="18">
        <v>4.0</v>
      </c>
    </row>
    <row r="12" ht="33.75" customHeight="1">
      <c r="A12" s="13">
        <v>7.0</v>
      </c>
      <c r="B12" s="19"/>
      <c r="C12" s="19"/>
      <c r="D12" s="19"/>
      <c r="E12" s="19"/>
      <c r="F12" s="19"/>
      <c r="G12" s="19"/>
      <c r="H12" s="16" t="str">
        <f>IF(COUNTIF('INTER-2 Students'!$E$6:$E$40,A12)=0,"",COUNTIF('INTER-2 Students'!$E$6:$E$40,A12))</f>
        <v/>
      </c>
    </row>
    <row r="13" ht="33.75" customHeight="1">
      <c r="A13" s="13">
        <v>8.0</v>
      </c>
      <c r="B13" s="14" t="s">
        <v>229</v>
      </c>
      <c r="C13" s="14" t="s">
        <v>56</v>
      </c>
      <c r="D13" s="19"/>
      <c r="E13" s="14" t="s">
        <v>230</v>
      </c>
      <c r="F13" s="19"/>
      <c r="G13" s="14" t="s">
        <v>92</v>
      </c>
      <c r="H13" s="16">
        <f>IF(COUNTIF('INTER-2 Students'!$E$6:$E$40,A13)=0,"",COUNTIF('INTER-2 Students'!$E$6:$E$40,A13))</f>
        <v>4</v>
      </c>
    </row>
    <row r="14">
      <c r="D14" s="29" t="s">
        <v>231</v>
      </c>
    </row>
    <row r="15">
      <c r="A15" s="2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6:H13">
    <cfRule type="expression" dxfId="0" priority="1">
      <formula>AND(H6&lt;&gt;"",H6&gt;=4,H6&lt;=5)</formula>
    </cfRule>
  </conditionalFormatting>
  <conditionalFormatting sqref="H6:H13">
    <cfRule type="expression" dxfId="1" priority="2">
      <formula>AND(H6&lt;&gt;"",OR(H6&lt;4,H6&gt;5))</formula>
    </cfRule>
  </conditionalFormatting>
  <conditionalFormatting sqref="D6:D13">
    <cfRule type="expression" dxfId="1" priority="3">
      <formula>AND(LEFT(C6,3)="Own",D6="")</formula>
    </cfRule>
  </conditionalFormatting>
  <dataValidations>
    <dataValidation type="list" allowBlank="1" sqref="C6:C13">
      <formula1>Projects!$B$5:$B$13</formula1>
    </dataValidation>
    <dataValidation type="list" allowBlank="1" sqref="G6:G13">
      <formula1>"yes,no"</formula1>
    </dataValidation>
  </dataValidations>
  <printOptions/>
  <pageMargins bottom="1.0" footer="0.0" header="0.0" left="0.75" right="0.75" top="1.0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AEE0"/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20.0"/>
    <col customWidth="1" min="4" max="4" width="32.0"/>
    <col customWidth="1" min="5" max="5" width="9.0"/>
    <col customWidth="1" min="6" max="6" width="20.0"/>
    <col customWidth="1" min="7" max="7" width="60.43"/>
    <col customWidth="1" min="8" max="8" width="24.0"/>
    <col customWidth="1" min="9" max="26" width="8.71"/>
  </cols>
  <sheetData>
    <row r="1">
      <c r="A1" s="1" t="s">
        <v>232</v>
      </c>
    </row>
    <row r="2">
      <c r="A2" s="2" t="s">
        <v>233</v>
      </c>
    </row>
    <row r="4" ht="31.5" customHeight="1">
      <c r="A4" s="6" t="s">
        <v>126</v>
      </c>
      <c r="B4" s="6" t="s">
        <v>127</v>
      </c>
      <c r="C4" s="6" t="s">
        <v>128</v>
      </c>
      <c r="D4" s="6" t="s">
        <v>129</v>
      </c>
      <c r="E4" s="6" t="s">
        <v>80</v>
      </c>
      <c r="F4" s="6" t="s">
        <v>130</v>
      </c>
      <c r="G4" s="6" t="s">
        <v>131</v>
      </c>
      <c r="H4" s="6" t="s">
        <v>132</v>
      </c>
    </row>
    <row r="5">
      <c r="A5" s="21" t="s">
        <v>88</v>
      </c>
      <c r="B5" s="21" t="s">
        <v>133</v>
      </c>
      <c r="C5" s="21" t="s">
        <v>134</v>
      </c>
      <c r="D5" s="21" t="s">
        <v>135</v>
      </c>
      <c r="E5" s="21">
        <v>1.0</v>
      </c>
      <c r="F5" s="21" t="s">
        <v>136</v>
      </c>
      <c r="G5" s="21" t="s">
        <v>137</v>
      </c>
      <c r="H5" s="21" t="s">
        <v>138</v>
      </c>
    </row>
    <row r="6">
      <c r="A6" s="22">
        <v>1.0</v>
      </c>
      <c r="B6" s="23" t="s">
        <v>234</v>
      </c>
      <c r="C6" s="23" t="s">
        <v>235</v>
      </c>
      <c r="D6" s="23" t="s">
        <v>236</v>
      </c>
      <c r="E6" s="24">
        <v>1.0</v>
      </c>
      <c r="F6" s="23" t="s">
        <v>237</v>
      </c>
      <c r="G6" s="25" t="str">
        <f t="array" ref="G6">IF($E6="","",IFERROR(IF(INDEX('INTER-2 Teams'!$C$6:$C$13,MATCH($E6,'INTER-2 Teams'!$A$6:$A$13,0))="","— team row not filled yet —",INDEX('INTER-2 Teams'!$C$6:$C$13,MATCH($E6,'INTER-2 Teams'!$A$6:$A$13,0))),"— check the team number —"))</f>
        <v>P5 · Multilingual support agent — ed-tech LMS</v>
      </c>
      <c r="H6" s="25" t="str">
        <f t="array" ref="H6">IF($E6="","",IFERROR(IF(INDEX('INTER-2 Teams'!$B$6:$B$13,MATCH($E6,'INTER-2 Teams'!$A$6:$A$13,0))="","",INDEX('INTER-2 Teams'!$B$6:$B$13,MATCH($E6,'INTER-2 Teams'!$A$6:$A$13,0))),""))</f>
        <v>Côme-Oussama-Daniel (COD)</v>
      </c>
    </row>
    <row r="7">
      <c r="A7" s="22">
        <v>3.0</v>
      </c>
      <c r="B7" s="23" t="s">
        <v>238</v>
      </c>
      <c r="C7" s="23" t="s">
        <v>239</v>
      </c>
      <c r="D7" s="23" t="s">
        <v>240</v>
      </c>
      <c r="E7" s="24">
        <v>1.0</v>
      </c>
      <c r="F7" s="26"/>
      <c r="G7" s="25" t="str">
        <f t="array" ref="G7">IF($E7="","",IFERROR(IF(INDEX('INTER-2 Teams'!$C$6:$C$13,MATCH($E7,'INTER-2 Teams'!$A$6:$A$13,0))="","— team row not filled yet —",INDEX('INTER-2 Teams'!$C$6:$C$13,MATCH($E7,'INTER-2 Teams'!$A$6:$A$13,0))),"— check the team number —"))</f>
        <v>P5 · Multilingual support agent — ed-tech LMS</v>
      </c>
      <c r="H7" s="25" t="str">
        <f t="array" ref="H7">IF($E7="","",IFERROR(IF(INDEX('INTER-2 Teams'!$B$6:$B$13,MATCH($E7,'INTER-2 Teams'!$A$6:$A$13,0))="","",INDEX('INTER-2 Teams'!$B$6:$B$13,MATCH($E7,'INTER-2 Teams'!$A$6:$A$13,0))),""))</f>
        <v>Côme-Oussama-Daniel (COD)</v>
      </c>
    </row>
    <row r="8">
      <c r="A8" s="22">
        <v>2.0</v>
      </c>
      <c r="B8" s="23" t="s">
        <v>241</v>
      </c>
      <c r="C8" s="23" t="s">
        <v>242</v>
      </c>
      <c r="D8" s="23" t="s">
        <v>243</v>
      </c>
      <c r="E8" s="24">
        <v>6.0</v>
      </c>
      <c r="F8" s="23" t="s">
        <v>244</v>
      </c>
      <c r="G8" s="25" t="str">
        <f t="array" ref="G8">IF($E8="","",IFERROR(IF(INDEX('INTER-2 Teams'!$C$6:$C$13,MATCH($E8,'INTER-2 Teams'!$A$6:$A$13,0))="","— team row not filled yet —",INDEX('INTER-2 Teams'!$C$6:$C$13,MATCH($E8,'INTER-2 Teams'!$A$6:$A$13,0))),"— check the team number —"))</f>
        <v>Own project (bring your own — 00_pitch.md before Session 3)</v>
      </c>
      <c r="H8" s="25" t="str">
        <f t="array" ref="H8">IF($E8="","",IFERROR(IF(INDEX('INTER-2 Teams'!$B$6:$B$13,MATCH($E8,'INTER-2 Teams'!$A$6:$A$13,0))="","",INDEX('INTER-2 Teams'!$B$6:$B$13,MATCH($E8,'INTER-2 Teams'!$A$6:$A$13,0))),""))</f>
        <v>TOES
Ugo, Thomas, Feliz, Bastien</v>
      </c>
    </row>
    <row r="9">
      <c r="A9" s="22">
        <v>4.0</v>
      </c>
      <c r="B9" s="23" t="s">
        <v>245</v>
      </c>
      <c r="C9" s="23" t="s">
        <v>246</v>
      </c>
      <c r="D9" s="23" t="s">
        <v>247</v>
      </c>
      <c r="E9" s="24">
        <v>6.0</v>
      </c>
      <c r="F9" s="26"/>
      <c r="G9" s="25" t="str">
        <f t="array" ref="G9">IF($E9="","",IFERROR(IF(INDEX('INTER-2 Teams'!$C$6:$C$13,MATCH($E9,'INTER-2 Teams'!$A$6:$A$13,0))="","— team row not filled yet —",INDEX('INTER-2 Teams'!$C$6:$C$13,MATCH($E9,'INTER-2 Teams'!$A$6:$A$13,0))),"— check the team number —"))</f>
        <v>Own project (bring your own — 00_pitch.md before Session 3)</v>
      </c>
      <c r="H9" s="25" t="str">
        <f t="array" ref="H9">IF($E9="","",IFERROR(IF(INDEX('INTER-2 Teams'!$B$6:$B$13,MATCH($E9,'INTER-2 Teams'!$A$6:$A$13,0))="","",INDEX('INTER-2 Teams'!$B$6:$B$13,MATCH($E9,'INTER-2 Teams'!$A$6:$A$13,0))),""))</f>
        <v>TOES
Ugo, Thomas, Feliz, Bastien</v>
      </c>
    </row>
    <row r="10">
      <c r="A10" s="22">
        <v>5.0</v>
      </c>
      <c r="B10" s="23" t="s">
        <v>248</v>
      </c>
      <c r="C10" s="23" t="s">
        <v>190</v>
      </c>
      <c r="D10" s="23" t="s">
        <v>249</v>
      </c>
      <c r="E10" s="24">
        <v>6.0</v>
      </c>
      <c r="F10" s="26"/>
      <c r="G10" s="25" t="str">
        <f t="array" ref="G10">IF($E10="","",IFERROR(IF(INDEX('INTER-2 Teams'!$C$6:$C$13,MATCH($E10,'INTER-2 Teams'!$A$6:$A$13,0))="","— team row not filled yet —",INDEX('INTER-2 Teams'!$C$6:$C$13,MATCH($E10,'INTER-2 Teams'!$A$6:$A$13,0))),"— check the team number —"))</f>
        <v>Own project (bring your own — 00_pitch.md before Session 3)</v>
      </c>
      <c r="H10" s="25" t="str">
        <f t="array" ref="H10">IF($E10="","",IFERROR(IF(INDEX('INTER-2 Teams'!$B$6:$B$13,MATCH($E10,'INTER-2 Teams'!$A$6:$A$13,0))="","",INDEX('INTER-2 Teams'!$B$6:$B$13,MATCH($E10,'INTER-2 Teams'!$A$6:$A$13,0))),""))</f>
        <v>TOES
Ugo, Thomas, Feliz, Bastien</v>
      </c>
    </row>
    <row r="11">
      <c r="A11" s="22"/>
      <c r="B11" s="23" t="s">
        <v>250</v>
      </c>
      <c r="C11" s="23" t="s">
        <v>251</v>
      </c>
      <c r="D11" s="23" t="s">
        <v>252</v>
      </c>
      <c r="E11" s="24">
        <v>6.0</v>
      </c>
      <c r="F11" s="26"/>
      <c r="G11" s="25" t="str">
        <f t="array" ref="G11">IF($E11="","",IFERROR(IF(INDEX('INTER-2 Teams'!$C$6:$C$13,MATCH($E11,'INTER-2 Teams'!$A$6:$A$13,0))="","— team row not filled yet —",INDEX('INTER-2 Teams'!$C$6:$C$13,MATCH($E11,'INTER-2 Teams'!$A$6:$A$13,0))),"— check the team number —"))</f>
        <v>Own project (bring your own — 00_pitch.md before Session 3)</v>
      </c>
      <c r="H11" s="25" t="str">
        <f t="array" ref="H11">IF($E11="","",IFERROR(IF(INDEX('INTER-2 Teams'!$B$6:$B$13,MATCH($E11,'INTER-2 Teams'!$A$6:$A$13,0))="","",INDEX('INTER-2 Teams'!$B$6:$B$13,MATCH($E11,'INTER-2 Teams'!$A$6:$A$13,0))),""))</f>
        <v>TOES
Ugo, Thomas, Feliz, Bastien</v>
      </c>
    </row>
    <row r="12">
      <c r="A12" s="22">
        <v>6.0</v>
      </c>
      <c r="B12" s="23" t="s">
        <v>253</v>
      </c>
      <c r="C12" s="23" t="s">
        <v>254</v>
      </c>
      <c r="D12" s="23" t="s">
        <v>255</v>
      </c>
      <c r="E12" s="24">
        <v>5.0</v>
      </c>
      <c r="F12" s="23" t="s">
        <v>256</v>
      </c>
      <c r="G12" s="25" t="str">
        <f t="array" ref="G12">IF($E12="","",IFERROR(IF(INDEX('INTER-2 Teams'!$C$6:$C$13,MATCH($E12,'INTER-2 Teams'!$A$6:$A$13,0))="","— team row not filled yet —",INDEX('INTER-2 Teams'!$C$6:$C$13,MATCH($E12,'INTER-2 Teams'!$A$6:$A$13,0))),"— check the team number —"))</f>
        <v>P7 · SLA-aware prioritisation — cybersecurity SaaS</v>
      </c>
      <c r="H12" s="25" t="str">
        <f t="array" ref="H12">IF($E12="","",IFERROR(IF(INDEX('INTER-2 Teams'!$B$6:$B$13,MATCH($E12,'INTER-2 Teams'!$A$6:$A$13,0))="","",INDEX('INTER-2 Teams'!$B$6:$B$13,MATCH($E12,'INTER-2 Teams'!$A$6:$A$13,0))),""))</f>
        <v>Luli, Rania, Wei-Ling, Chanelle</v>
      </c>
    </row>
    <row r="13">
      <c r="A13" s="22">
        <v>7.0</v>
      </c>
      <c r="B13" s="23" t="s">
        <v>257</v>
      </c>
      <c r="C13" s="23" t="s">
        <v>258</v>
      </c>
      <c r="D13" s="23" t="s">
        <v>259</v>
      </c>
      <c r="E13" s="24">
        <v>5.0</v>
      </c>
      <c r="F13" s="23" t="s">
        <v>260</v>
      </c>
      <c r="G13" s="25" t="str">
        <f t="array" ref="G13">IF($E13="","",IFERROR(IF(INDEX('INTER-2 Teams'!$C$6:$C$13,MATCH($E13,'INTER-2 Teams'!$A$6:$A$13,0))="","— team row not filled yet —",INDEX('INTER-2 Teams'!$C$6:$C$13,MATCH($E13,'INTER-2 Teams'!$A$6:$A$13,0))),"— check the team number —"))</f>
        <v>P7 · SLA-aware prioritisation — cybersecurity SaaS</v>
      </c>
      <c r="H13" s="25" t="str">
        <f t="array" ref="H13">IF($E13="","",IFERROR(IF(INDEX('INTER-2 Teams'!$B$6:$B$13,MATCH($E13,'INTER-2 Teams'!$A$6:$A$13,0))="","",INDEX('INTER-2 Teams'!$B$6:$B$13,MATCH($E13,'INTER-2 Teams'!$A$6:$A$13,0))),""))</f>
        <v>Luli, Rania, Wei-Ling, Chanelle</v>
      </c>
    </row>
    <row r="14">
      <c r="A14" s="22">
        <v>8.0</v>
      </c>
      <c r="B14" s="23" t="s">
        <v>261</v>
      </c>
      <c r="C14" s="23" t="s">
        <v>262</v>
      </c>
      <c r="D14" s="23" t="s">
        <v>263</v>
      </c>
      <c r="E14" s="24">
        <v>5.0</v>
      </c>
      <c r="F14" s="23" t="s">
        <v>264</v>
      </c>
      <c r="G14" s="25" t="str">
        <f t="array" ref="G14">IF($E14="","",IFERROR(IF(INDEX('INTER-2 Teams'!$C$6:$C$13,MATCH($E14,'INTER-2 Teams'!$A$6:$A$13,0))="","— team row not filled yet —",INDEX('INTER-2 Teams'!$C$6:$C$13,MATCH($E14,'INTER-2 Teams'!$A$6:$A$13,0))),"— check the team number —"))</f>
        <v>P7 · SLA-aware prioritisation — cybersecurity SaaS</v>
      </c>
      <c r="H14" s="25" t="str">
        <f t="array" ref="H14">IF($E14="","",IFERROR(IF(INDEX('INTER-2 Teams'!$B$6:$B$13,MATCH($E14,'INTER-2 Teams'!$A$6:$A$13,0))="","",INDEX('INTER-2 Teams'!$B$6:$B$13,MATCH($E14,'INTER-2 Teams'!$A$6:$A$13,0))),""))</f>
        <v>Luli, Rania, Wei-Ling, Chanelle</v>
      </c>
    </row>
    <row r="15">
      <c r="A15" s="22">
        <v>9.0</v>
      </c>
      <c r="B15" s="23" t="s">
        <v>265</v>
      </c>
      <c r="C15" s="23" t="s">
        <v>266</v>
      </c>
      <c r="D15" s="23" t="s">
        <v>267</v>
      </c>
      <c r="E15" s="24">
        <v>5.0</v>
      </c>
      <c r="F15" s="23" t="s">
        <v>268</v>
      </c>
      <c r="G15" s="25" t="str">
        <f t="array" ref="G15">IF($E15="","",IFERROR(IF(INDEX('INTER-2 Teams'!$C$6:$C$13,MATCH($E15,'INTER-2 Teams'!$A$6:$A$13,0))="","— team row not filled yet —",INDEX('INTER-2 Teams'!$C$6:$C$13,MATCH($E15,'INTER-2 Teams'!$A$6:$A$13,0))),"— check the team number —"))</f>
        <v>P7 · SLA-aware prioritisation — cybersecurity SaaS</v>
      </c>
      <c r="H15" s="25" t="str">
        <f t="array" ref="H15">IF($E15="","",IFERROR(IF(INDEX('INTER-2 Teams'!$B$6:$B$13,MATCH($E15,'INTER-2 Teams'!$A$6:$A$13,0))="","",INDEX('INTER-2 Teams'!$B$6:$B$13,MATCH($E15,'INTER-2 Teams'!$A$6:$A$13,0))),""))</f>
        <v>Luli, Rania, Wei-Ling, Chanelle</v>
      </c>
    </row>
    <row r="16">
      <c r="A16" s="22">
        <v>10.0</v>
      </c>
      <c r="B16" s="23" t="s">
        <v>269</v>
      </c>
      <c r="C16" s="23" t="s">
        <v>270</v>
      </c>
      <c r="D16" s="23" t="s">
        <v>271</v>
      </c>
      <c r="E16" s="24">
        <v>4.0</v>
      </c>
      <c r="F16" s="26"/>
      <c r="G16" s="25" t="str">
        <f t="array" ref="G16">IF($E16="","",IFERROR(IF(INDEX('INTER-2 Teams'!$C$6:$C$13,MATCH($E16,'INTER-2 Teams'!$A$6:$A$13,0))="","— team row not filled yet —",INDEX('INTER-2 Teams'!$C$6:$C$13,MATCH($E16,'INTER-2 Teams'!$A$6:$A$13,0))),"— check the team number —"))</f>
        <v>P4 · Refund &amp; cancellation agent — e-commerce logistics</v>
      </c>
      <c r="H16" s="25" t="str">
        <f t="array" ref="H16">IF($E16="","",IFERROR(IF(INDEX('INTER-2 Teams'!$B$6:$B$13,MATCH($E16,'INTER-2 Teams'!$A$6:$A$13,0))="","",INDEX('INTER-2 Teams'!$B$6:$B$13,MATCH($E16,'INTER-2 Teams'!$A$6:$A$13,0))),""))</f>
        <v>TYN (Tom, Yannick, Nissrine)</v>
      </c>
    </row>
    <row r="17">
      <c r="A17" s="22">
        <v>11.0</v>
      </c>
      <c r="B17" s="23" t="s">
        <v>272</v>
      </c>
      <c r="C17" s="23" t="s">
        <v>273</v>
      </c>
      <c r="D17" s="23" t="s">
        <v>274</v>
      </c>
      <c r="E17" s="24">
        <v>4.0</v>
      </c>
      <c r="F17" s="26"/>
      <c r="G17" s="25" t="str">
        <f t="array" ref="G17">IF($E17="","",IFERROR(IF(INDEX('INTER-2 Teams'!$C$6:$C$13,MATCH($E17,'INTER-2 Teams'!$A$6:$A$13,0))="","— team row not filled yet —",INDEX('INTER-2 Teams'!$C$6:$C$13,MATCH($E17,'INTER-2 Teams'!$A$6:$A$13,0))),"— check the team number —"))</f>
        <v>P4 · Refund &amp; cancellation agent — e-commerce logistics</v>
      </c>
      <c r="H17" s="25" t="str">
        <f t="array" ref="H17">IF($E17="","",IFERROR(IF(INDEX('INTER-2 Teams'!$B$6:$B$13,MATCH($E17,'INTER-2 Teams'!$A$6:$A$13,0))="","",INDEX('INTER-2 Teams'!$B$6:$B$13,MATCH($E17,'INTER-2 Teams'!$A$6:$A$13,0))),""))</f>
        <v>TYN (Tom, Yannick, Nissrine)</v>
      </c>
    </row>
    <row r="18">
      <c r="A18" s="22">
        <v>12.0</v>
      </c>
      <c r="B18" s="23" t="s">
        <v>275</v>
      </c>
      <c r="C18" s="23" t="s">
        <v>276</v>
      </c>
      <c r="D18" s="23" t="s">
        <v>277</v>
      </c>
      <c r="E18" s="24">
        <v>4.0</v>
      </c>
      <c r="F18" s="26"/>
      <c r="G18" s="25" t="str">
        <f t="array" ref="G18">IF($E18="","",IFERROR(IF(INDEX('INTER-2 Teams'!$C$6:$C$13,MATCH($E18,'INTER-2 Teams'!$A$6:$A$13,0))="","— team row not filled yet —",INDEX('INTER-2 Teams'!$C$6:$C$13,MATCH($E18,'INTER-2 Teams'!$A$6:$A$13,0))),"— check the team number —"))</f>
        <v>P4 · Refund &amp; cancellation agent — e-commerce logistics</v>
      </c>
      <c r="H18" s="25" t="str">
        <f t="array" ref="H18">IF($E18="","",IFERROR(IF(INDEX('INTER-2 Teams'!$B$6:$B$13,MATCH($E18,'INTER-2 Teams'!$A$6:$A$13,0))="","",INDEX('INTER-2 Teams'!$B$6:$B$13,MATCH($E18,'INTER-2 Teams'!$A$6:$A$13,0))),""))</f>
        <v>TYN (Tom, Yannick, Nissrine)</v>
      </c>
    </row>
    <row r="19">
      <c r="A19" s="22">
        <v>13.0</v>
      </c>
      <c r="B19" s="23" t="s">
        <v>278</v>
      </c>
      <c r="C19" s="23" t="s">
        <v>172</v>
      </c>
      <c r="D19" s="23" t="s">
        <v>279</v>
      </c>
      <c r="E19" s="24">
        <v>2.0</v>
      </c>
      <c r="F19" s="26"/>
      <c r="G19" s="25" t="str">
        <f t="array" ref="G19">IF($E19="","",IFERROR(IF(INDEX('INTER-2 Teams'!$C$6:$C$13,MATCH($E19,'INTER-2 Teams'!$A$6:$A$13,0))="","— team row not filled yet —",INDEX('INTER-2 Teams'!$C$6:$C$13,MATCH($E19,'INTER-2 Teams'!$A$6:$A$13,0))),"— check the team number —"))</f>
        <v>P1 · Tier-1 deflection — HR &amp; payroll SaaS</v>
      </c>
      <c r="H19" s="25" t="str">
        <f t="array" ref="H19">IF($E19="","",IFERROR(IF(INDEX('INTER-2 Teams'!$B$6:$B$13,MATCH($E19,'INTER-2 Teams'!$A$6:$A$13,0))="","",INDEX('INTER-2 Teams'!$B$6:$B$13,MATCH($E19,'INTER-2 Teams'!$A$6:$A$13,0))),""))</f>
        <v>OG Albert</v>
      </c>
    </row>
    <row r="20">
      <c r="A20" s="22">
        <v>14.0</v>
      </c>
      <c r="B20" s="23" t="s">
        <v>280</v>
      </c>
      <c r="C20" s="23" t="s">
        <v>281</v>
      </c>
      <c r="D20" s="23" t="s">
        <v>282</v>
      </c>
      <c r="E20" s="24">
        <v>2.0</v>
      </c>
      <c r="F20" s="26"/>
      <c r="G20" s="25" t="str">
        <f t="array" ref="G20">IF($E20="","",IFERROR(IF(INDEX('INTER-2 Teams'!$C$6:$C$13,MATCH($E20,'INTER-2 Teams'!$A$6:$A$13,0))="","— team row not filled yet —",INDEX('INTER-2 Teams'!$C$6:$C$13,MATCH($E20,'INTER-2 Teams'!$A$6:$A$13,0))),"— check the team number —"))</f>
        <v>P1 · Tier-1 deflection — HR &amp; payroll SaaS</v>
      </c>
      <c r="H20" s="25" t="str">
        <f t="array" ref="H20">IF($E20="","",IFERROR(IF(INDEX('INTER-2 Teams'!$B$6:$B$13,MATCH($E20,'INTER-2 Teams'!$A$6:$A$13,0))="","",INDEX('INTER-2 Teams'!$B$6:$B$13,MATCH($E20,'INTER-2 Teams'!$A$6:$A$13,0))),""))</f>
        <v>OG Albert</v>
      </c>
    </row>
    <row r="21">
      <c r="A21" s="22">
        <v>15.0</v>
      </c>
      <c r="B21" s="23" t="s">
        <v>283</v>
      </c>
      <c r="C21" s="23" t="s">
        <v>284</v>
      </c>
      <c r="D21" s="23" t="s">
        <v>285</v>
      </c>
      <c r="E21" s="24">
        <v>2.0</v>
      </c>
      <c r="F21" s="26"/>
      <c r="G21" s="25" t="str">
        <f t="array" ref="G21">IF($E21="","",IFERROR(IF(INDEX('INTER-2 Teams'!$C$6:$C$13,MATCH($E21,'INTER-2 Teams'!$A$6:$A$13,0))="","— team row not filled yet —",INDEX('INTER-2 Teams'!$C$6:$C$13,MATCH($E21,'INTER-2 Teams'!$A$6:$A$13,0))),"— check the team number —"))</f>
        <v>P1 · Tier-1 deflection — HR &amp; payroll SaaS</v>
      </c>
      <c r="H21" s="25" t="str">
        <f t="array" ref="H21">IF($E21="","",IFERROR(IF(INDEX('INTER-2 Teams'!$B$6:$B$13,MATCH($E21,'INTER-2 Teams'!$A$6:$A$13,0))="","",INDEX('INTER-2 Teams'!$B$6:$B$13,MATCH($E21,'INTER-2 Teams'!$A$6:$A$13,0))),""))</f>
        <v>OG Albert</v>
      </c>
    </row>
    <row r="22" ht="15.75" customHeight="1">
      <c r="A22" s="22"/>
      <c r="B22" s="23" t="s">
        <v>286</v>
      </c>
      <c r="C22" s="23" t="s">
        <v>287</v>
      </c>
      <c r="D22" s="23" t="s">
        <v>288</v>
      </c>
      <c r="E22" s="24">
        <v>2.0</v>
      </c>
      <c r="F22" s="26"/>
      <c r="G22" s="25" t="str">
        <f t="array" ref="G22">IF($E22="","",IFERROR(IF(INDEX('INTER-2 Teams'!$C$6:$C$13,MATCH($E22,'INTER-2 Teams'!$A$6:$A$13,0))="","— team row not filled yet —",INDEX('INTER-2 Teams'!$C$6:$C$13,MATCH($E22,'INTER-2 Teams'!$A$6:$A$13,0))),"— check the team number —"))</f>
        <v>P1 · Tier-1 deflection — HR &amp; payroll SaaS</v>
      </c>
      <c r="H22" s="25" t="str">
        <f t="array" ref="H22">IF($E22="","",IFERROR(IF(INDEX('INTER-2 Teams'!$B$6:$B$13,MATCH($E22,'INTER-2 Teams'!$A$6:$A$13,0))="","",INDEX('INTER-2 Teams'!$B$6:$B$13,MATCH($E22,'INTER-2 Teams'!$A$6:$A$13,0))),""))</f>
        <v>OG Albert</v>
      </c>
    </row>
    <row r="23" ht="15.75" customHeight="1">
      <c r="A23" s="22">
        <v>16.0</v>
      </c>
      <c r="B23" s="23" t="s">
        <v>289</v>
      </c>
      <c r="C23" s="23" t="s">
        <v>290</v>
      </c>
      <c r="D23" s="23" t="s">
        <v>291</v>
      </c>
      <c r="E23" s="24">
        <v>1.0</v>
      </c>
      <c r="F23" s="26"/>
      <c r="G23" s="25" t="str">
        <f t="array" ref="G23">IF($E23="","",IFERROR(IF(INDEX('INTER-2 Teams'!$C$6:$C$13,MATCH($E23,'INTER-2 Teams'!$A$6:$A$13,0))="","— team row not filled yet —",INDEX('INTER-2 Teams'!$C$6:$C$13,MATCH($E23,'INTER-2 Teams'!$A$6:$A$13,0))),"— check the team number —"))</f>
        <v>P5 · Multilingual support agent — ed-tech LMS</v>
      </c>
      <c r="H23" s="25" t="str">
        <f t="array" ref="H23">IF($E23="","",IFERROR(IF(INDEX('INTER-2 Teams'!$B$6:$B$13,MATCH($E23,'INTER-2 Teams'!$A$6:$A$13,0))="","",INDEX('INTER-2 Teams'!$B$6:$B$13,MATCH($E23,'INTER-2 Teams'!$A$6:$A$13,0))),""))</f>
        <v>Côme-Oussama-Daniel (COD)</v>
      </c>
    </row>
    <row r="24" ht="15.75" customHeight="1">
      <c r="A24" s="22">
        <v>17.0</v>
      </c>
      <c r="B24" s="23" t="s">
        <v>292</v>
      </c>
      <c r="C24" s="23" t="s">
        <v>293</v>
      </c>
      <c r="D24" s="23" t="s">
        <v>294</v>
      </c>
      <c r="E24" s="24">
        <v>8.0</v>
      </c>
      <c r="F24" s="23" t="s">
        <v>295</v>
      </c>
      <c r="G24" s="25" t="str">
        <f t="array" ref="G24">IF($E24="","",IFERROR(IF(INDEX('INTER-2 Teams'!$C$6:$C$13,MATCH($E24,'INTER-2 Teams'!$A$6:$A$13,0))="","— team row not filled yet —",INDEX('INTER-2 Teams'!$C$6:$C$13,MATCH($E24,'INTER-2 Teams'!$A$6:$A$13,0))),"— check the team number —"))</f>
        <v>P6 · Churn-prevention support agent — project-management SaaS</v>
      </c>
      <c r="H24" s="25" t="str">
        <f t="array" ref="H24">IF($E24="","",IFERROR(IF(INDEX('INTER-2 Teams'!$B$6:$B$13,MATCH($E24,'INTER-2 Teams'!$A$6:$A$13,0))="","",INDEX('INTER-2 Teams'!$B$6:$B$13,MATCH($E24,'INTER-2 Teams'!$A$6:$A$13,0))),""))</f>
        <v>ALAN</v>
      </c>
    </row>
    <row r="25" ht="15.75" customHeight="1">
      <c r="A25" s="22">
        <v>18.0</v>
      </c>
      <c r="B25" s="23" t="s">
        <v>296</v>
      </c>
      <c r="C25" s="23" t="s">
        <v>297</v>
      </c>
      <c r="D25" s="23" t="s">
        <v>298</v>
      </c>
      <c r="E25" s="24">
        <v>8.0</v>
      </c>
      <c r="F25" s="23" t="s">
        <v>299</v>
      </c>
      <c r="G25" s="25" t="str">
        <f t="array" ref="G25">IF($E25="","",IFERROR(IF(INDEX('INTER-2 Teams'!$C$6:$C$13,MATCH($E25,'INTER-2 Teams'!$A$6:$A$13,0))="","— team row not filled yet —",INDEX('INTER-2 Teams'!$C$6:$C$13,MATCH($E25,'INTER-2 Teams'!$A$6:$A$13,0))),"— check the team number —"))</f>
        <v>P6 · Churn-prevention support agent — project-management SaaS</v>
      </c>
      <c r="H25" s="25" t="str">
        <f t="array" ref="H25">IF($E25="","",IFERROR(IF(INDEX('INTER-2 Teams'!$B$6:$B$13,MATCH($E25,'INTER-2 Teams'!$A$6:$A$13,0))="","",INDEX('INTER-2 Teams'!$B$6:$B$13,MATCH($E25,'INTER-2 Teams'!$A$6:$A$13,0))),""))</f>
        <v>ALAN</v>
      </c>
    </row>
    <row r="26" ht="15.75" customHeight="1">
      <c r="A26" s="22">
        <v>19.0</v>
      </c>
      <c r="B26" s="23" t="s">
        <v>300</v>
      </c>
      <c r="C26" s="23" t="s">
        <v>301</v>
      </c>
      <c r="D26" s="23" t="s">
        <v>302</v>
      </c>
      <c r="E26" s="24">
        <v>8.0</v>
      </c>
      <c r="F26" s="23" t="s">
        <v>303</v>
      </c>
      <c r="G26" s="25" t="str">
        <f t="array" ref="G26">IF($E26="","",IFERROR(IF(INDEX('INTER-2 Teams'!$C$6:$C$13,MATCH($E26,'INTER-2 Teams'!$A$6:$A$13,0))="","— team row not filled yet —",INDEX('INTER-2 Teams'!$C$6:$C$13,MATCH($E26,'INTER-2 Teams'!$A$6:$A$13,0))),"— check the team number —"))</f>
        <v>P6 · Churn-prevention support agent — project-management SaaS</v>
      </c>
      <c r="H26" s="25" t="str">
        <f t="array" ref="H26">IF($E26="","",IFERROR(IF(INDEX('INTER-2 Teams'!$B$6:$B$13,MATCH($E26,'INTER-2 Teams'!$A$6:$A$13,0))="","",INDEX('INTER-2 Teams'!$B$6:$B$13,MATCH($E26,'INTER-2 Teams'!$A$6:$A$13,0))),""))</f>
        <v>ALAN</v>
      </c>
    </row>
    <row r="27" ht="15.75" customHeight="1">
      <c r="A27" s="22">
        <v>20.0</v>
      </c>
      <c r="B27" s="23" t="s">
        <v>304</v>
      </c>
      <c r="C27" s="23" t="s">
        <v>305</v>
      </c>
      <c r="D27" s="23" t="s">
        <v>306</v>
      </c>
      <c r="E27" s="24">
        <v>8.0</v>
      </c>
      <c r="F27" s="23" t="s">
        <v>304</v>
      </c>
      <c r="G27" s="25" t="str">
        <f t="array" ref="G27">IF($E27="","",IFERROR(IF(INDEX('INTER-2 Teams'!$C$6:$C$13,MATCH($E27,'INTER-2 Teams'!$A$6:$A$13,0))="","— team row not filled yet —",INDEX('INTER-2 Teams'!$C$6:$C$13,MATCH($E27,'INTER-2 Teams'!$A$6:$A$13,0))),"— check the team number —"))</f>
        <v>P6 · Churn-prevention support agent — project-management SaaS</v>
      </c>
      <c r="H27" s="25" t="str">
        <f t="array" ref="H27">IF($E27="","",IFERROR(IF(INDEX('INTER-2 Teams'!$B$6:$B$13,MATCH($E27,'INTER-2 Teams'!$A$6:$A$13,0))="","",INDEX('INTER-2 Teams'!$B$6:$B$13,MATCH($E27,'INTER-2 Teams'!$A$6:$A$13,0))),""))</f>
        <v>ALAN</v>
      </c>
    </row>
    <row r="28" ht="15.75" customHeight="1">
      <c r="A28" s="22">
        <v>21.0</v>
      </c>
      <c r="B28" s="23" t="s">
        <v>307</v>
      </c>
      <c r="C28" s="23" t="s">
        <v>308</v>
      </c>
      <c r="D28" s="23" t="s">
        <v>309</v>
      </c>
      <c r="E28" s="24">
        <v>3.0</v>
      </c>
      <c r="F28" s="23" t="s">
        <v>310</v>
      </c>
      <c r="G28" s="25" t="str">
        <f t="array" ref="G28">IF($E28="","",IFERROR(IF(INDEX('INTER-2 Teams'!$C$6:$C$13,MATCH($E28,'INTER-2 Teams'!$A$6:$A$13,0))="","— team row not filled yet —",INDEX('INTER-2 Teams'!$C$6:$C$13,MATCH($E28,'INTER-2 Teams'!$A$6:$A$13,0))),"— check the team number —"))</f>
        <v>P2 · Agent-assist copilot — B2B payments fintech</v>
      </c>
      <c r="H28" s="25" t="str">
        <f t="array" ref="H28">IF($E28="","",IFERROR(IF(INDEX('INTER-2 Teams'!$B$6:$B$13,MATCH($E28,'INTER-2 Teams'!$A$6:$A$13,0))="","",INDEX('INTER-2 Teams'!$B$6:$B$13,MATCH($E28,'INTER-2 Teams'!$A$6:$A$13,0))),""))</f>
        <v>NAVY (Nahel, Alexandre, Vincent, Yoni)</v>
      </c>
    </row>
    <row r="29" ht="15.75" customHeight="1">
      <c r="A29" s="22">
        <v>22.0</v>
      </c>
      <c r="B29" s="26"/>
      <c r="C29" s="26"/>
      <c r="D29" s="26"/>
      <c r="E29" s="27"/>
      <c r="F29" s="26"/>
      <c r="G29" s="25" t="str">
        <f t="array" ref="G29">IF($E29="","",IFERROR(IF(INDEX('INTER-2 Teams'!$C$6:$C$13,MATCH($E29,'INTER-2 Teams'!$A$6:$A$13,0))="","— team row not filled yet —",INDEX('INTER-2 Teams'!$C$6:$C$13,MATCH($E29,'INTER-2 Teams'!$A$6:$A$13,0))),"— check the team number —"))</f>
        <v/>
      </c>
      <c r="H29" s="25" t="str">
        <f t="array" ref="H29">IF($E29="","",IFERROR(IF(INDEX('INTER-2 Teams'!$B$6:$B$13,MATCH($E29,'INTER-2 Teams'!$A$6:$A$13,0))="","",INDEX('INTER-2 Teams'!$B$6:$B$13,MATCH($E29,'INTER-2 Teams'!$A$6:$A$13,0))),""))</f>
        <v/>
      </c>
    </row>
    <row r="30" ht="15.75" customHeight="1">
      <c r="A30" s="22">
        <v>23.0</v>
      </c>
      <c r="B30" s="26"/>
      <c r="C30" s="26"/>
      <c r="D30" s="26"/>
      <c r="E30" s="27"/>
      <c r="F30" s="26"/>
      <c r="G30" s="25" t="str">
        <f t="array" ref="G30">IF($E30="","",IFERROR(IF(INDEX('INTER-2 Teams'!$C$6:$C$13,MATCH($E30,'INTER-2 Teams'!$A$6:$A$13,0))="","— team row not filled yet —",INDEX('INTER-2 Teams'!$C$6:$C$13,MATCH($E30,'INTER-2 Teams'!$A$6:$A$13,0))),"— check the team number —"))</f>
        <v/>
      </c>
      <c r="H30" s="25" t="str">
        <f t="array" ref="H30">IF($E30="","",IFERROR(IF(INDEX('INTER-2 Teams'!$B$6:$B$13,MATCH($E30,'INTER-2 Teams'!$A$6:$A$13,0))="","",INDEX('INTER-2 Teams'!$B$6:$B$13,MATCH($E30,'INTER-2 Teams'!$A$6:$A$13,0))),""))</f>
        <v/>
      </c>
    </row>
    <row r="31" ht="15.75" customHeight="1">
      <c r="A31" s="22">
        <v>24.0</v>
      </c>
      <c r="B31" s="26"/>
      <c r="C31" s="26"/>
      <c r="D31" s="26"/>
      <c r="E31" s="27"/>
      <c r="F31" s="26"/>
      <c r="G31" s="25" t="str">
        <f t="array" ref="G31">IF($E31="","",IFERROR(IF(INDEX('INTER-2 Teams'!$C$6:$C$13,MATCH($E31,'INTER-2 Teams'!$A$6:$A$13,0))="","— team row not filled yet —",INDEX('INTER-2 Teams'!$C$6:$C$13,MATCH($E31,'INTER-2 Teams'!$A$6:$A$13,0))),"— check the team number —"))</f>
        <v/>
      </c>
      <c r="H31" s="25" t="str">
        <f t="array" ref="H31">IF($E31="","",IFERROR(IF(INDEX('INTER-2 Teams'!$B$6:$B$13,MATCH($E31,'INTER-2 Teams'!$A$6:$A$13,0))="","",INDEX('INTER-2 Teams'!$B$6:$B$13,MATCH($E31,'INTER-2 Teams'!$A$6:$A$13,0))),""))</f>
        <v/>
      </c>
    </row>
    <row r="32" ht="15.75" customHeight="1">
      <c r="A32" s="22">
        <v>25.0</v>
      </c>
      <c r="B32" s="26"/>
      <c r="C32" s="26"/>
      <c r="D32" s="26"/>
      <c r="E32" s="27"/>
      <c r="F32" s="26"/>
      <c r="G32" s="25" t="str">
        <f t="array" ref="G32">IF($E32="","",IFERROR(IF(INDEX('INTER-2 Teams'!$C$6:$C$13,MATCH($E32,'INTER-2 Teams'!$A$6:$A$13,0))="","— team row not filled yet —",INDEX('INTER-2 Teams'!$C$6:$C$13,MATCH($E32,'INTER-2 Teams'!$A$6:$A$13,0))),"— check the team number —"))</f>
        <v/>
      </c>
      <c r="H32" s="25" t="str">
        <f t="array" ref="H32">IF($E32="","",IFERROR(IF(INDEX('INTER-2 Teams'!$B$6:$B$13,MATCH($E32,'INTER-2 Teams'!$A$6:$A$13,0))="","",INDEX('INTER-2 Teams'!$B$6:$B$13,MATCH($E32,'INTER-2 Teams'!$A$6:$A$13,0))),""))</f>
        <v/>
      </c>
    </row>
    <row r="33" ht="15.75" customHeight="1">
      <c r="A33" s="22">
        <v>26.0</v>
      </c>
      <c r="B33" s="26"/>
      <c r="C33" s="26"/>
      <c r="D33" s="26"/>
      <c r="E33" s="27"/>
      <c r="F33" s="26"/>
      <c r="G33" s="25" t="str">
        <f t="array" ref="G33">IF($E33="","",IFERROR(IF(INDEX('INTER-2 Teams'!$C$6:$C$13,MATCH($E33,'INTER-2 Teams'!$A$6:$A$13,0))="","— team row not filled yet —",INDEX('INTER-2 Teams'!$C$6:$C$13,MATCH($E33,'INTER-2 Teams'!$A$6:$A$13,0))),"— check the team number —"))</f>
        <v/>
      </c>
      <c r="H33" s="25" t="str">
        <f t="array" ref="H33">IF($E33="","",IFERROR(IF(INDEX('INTER-2 Teams'!$B$6:$B$13,MATCH($E33,'INTER-2 Teams'!$A$6:$A$13,0))="","",INDEX('INTER-2 Teams'!$B$6:$B$13,MATCH($E33,'INTER-2 Teams'!$A$6:$A$13,0))),""))</f>
        <v/>
      </c>
    </row>
    <row r="34" ht="15.75" customHeight="1">
      <c r="A34" s="22">
        <v>27.0</v>
      </c>
      <c r="B34" s="26"/>
      <c r="C34" s="26"/>
      <c r="D34" s="26"/>
      <c r="E34" s="27"/>
      <c r="F34" s="26"/>
      <c r="G34" s="25" t="str">
        <f t="array" ref="G34">IF($E34="","",IFERROR(IF(INDEX('INTER-2 Teams'!$C$6:$C$13,MATCH($E34,'INTER-2 Teams'!$A$6:$A$13,0))="","— team row not filled yet —",INDEX('INTER-2 Teams'!$C$6:$C$13,MATCH($E34,'INTER-2 Teams'!$A$6:$A$13,0))),"— check the team number —"))</f>
        <v/>
      </c>
      <c r="H34" s="25" t="str">
        <f t="array" ref="H34">IF($E34="","",IFERROR(IF(INDEX('INTER-2 Teams'!$B$6:$B$13,MATCH($E34,'INTER-2 Teams'!$A$6:$A$13,0))="","",INDEX('INTER-2 Teams'!$B$6:$B$13,MATCH($E34,'INTER-2 Teams'!$A$6:$A$13,0))),""))</f>
        <v/>
      </c>
    </row>
    <row r="35" ht="15.75" customHeight="1">
      <c r="A35" s="22">
        <v>28.0</v>
      </c>
      <c r="B35" s="26"/>
      <c r="C35" s="26"/>
      <c r="D35" s="26"/>
      <c r="E35" s="27"/>
      <c r="F35" s="26"/>
      <c r="G35" s="25" t="str">
        <f t="array" ref="G35">IF($E35="","",IFERROR(IF(INDEX('INTER-2 Teams'!$C$6:$C$13,MATCH($E35,'INTER-2 Teams'!$A$6:$A$13,0))="","— team row not filled yet —",INDEX('INTER-2 Teams'!$C$6:$C$13,MATCH($E35,'INTER-2 Teams'!$A$6:$A$13,0))),"— check the team number —"))</f>
        <v/>
      </c>
      <c r="H35" s="25" t="str">
        <f t="array" ref="H35">IF($E35="","",IFERROR(IF(INDEX('INTER-2 Teams'!$B$6:$B$13,MATCH($E35,'INTER-2 Teams'!$A$6:$A$13,0))="","",INDEX('INTER-2 Teams'!$B$6:$B$13,MATCH($E35,'INTER-2 Teams'!$A$6:$A$13,0))),""))</f>
        <v/>
      </c>
    </row>
    <row r="36" ht="15.75" customHeight="1">
      <c r="A36" s="22">
        <v>29.0</v>
      </c>
      <c r="B36" s="26"/>
      <c r="C36" s="26"/>
      <c r="D36" s="26"/>
      <c r="E36" s="27"/>
      <c r="F36" s="26"/>
      <c r="G36" s="25" t="str">
        <f t="array" ref="G36">IF($E36="","",IFERROR(IF(INDEX('INTER-2 Teams'!$C$6:$C$13,MATCH($E36,'INTER-2 Teams'!$A$6:$A$13,0))="","— team row not filled yet —",INDEX('INTER-2 Teams'!$C$6:$C$13,MATCH($E36,'INTER-2 Teams'!$A$6:$A$13,0))),"— check the team number —"))</f>
        <v/>
      </c>
      <c r="H36" s="25" t="str">
        <f t="array" ref="H36">IF($E36="","",IFERROR(IF(INDEX('INTER-2 Teams'!$B$6:$B$13,MATCH($E36,'INTER-2 Teams'!$A$6:$A$13,0))="","",INDEX('INTER-2 Teams'!$B$6:$B$13,MATCH($E36,'INTER-2 Teams'!$A$6:$A$13,0))),""))</f>
        <v/>
      </c>
    </row>
    <row r="37" ht="15.75" customHeight="1">
      <c r="A37" s="22">
        <v>30.0</v>
      </c>
      <c r="B37" s="26"/>
      <c r="C37" s="26"/>
      <c r="D37" s="26"/>
      <c r="E37" s="27"/>
      <c r="F37" s="26"/>
      <c r="G37" s="25" t="str">
        <f t="array" ref="G37">IF($E37="","",IFERROR(IF(INDEX('INTER-2 Teams'!$C$6:$C$13,MATCH($E37,'INTER-2 Teams'!$A$6:$A$13,0))="","— team row not filled yet —",INDEX('INTER-2 Teams'!$C$6:$C$13,MATCH($E37,'INTER-2 Teams'!$A$6:$A$13,0))),"— check the team number —"))</f>
        <v/>
      </c>
      <c r="H37" s="25" t="str">
        <f t="array" ref="H37">IF($E37="","",IFERROR(IF(INDEX('INTER-2 Teams'!$B$6:$B$13,MATCH($E37,'INTER-2 Teams'!$A$6:$A$13,0))="","",INDEX('INTER-2 Teams'!$B$6:$B$13,MATCH($E37,'INTER-2 Teams'!$A$6:$A$13,0))),""))</f>
        <v/>
      </c>
    </row>
    <row r="38" ht="15.75" customHeight="1">
      <c r="A38" s="22">
        <v>31.0</v>
      </c>
      <c r="B38" s="26"/>
      <c r="C38" s="26"/>
      <c r="D38" s="26"/>
      <c r="E38" s="27"/>
      <c r="F38" s="26"/>
      <c r="G38" s="25" t="str">
        <f t="array" ref="G38">IF($E38="","",IFERROR(IF(INDEX('INTER-2 Teams'!$C$6:$C$13,MATCH($E38,'INTER-2 Teams'!$A$6:$A$13,0))="","— team row not filled yet —",INDEX('INTER-2 Teams'!$C$6:$C$13,MATCH($E38,'INTER-2 Teams'!$A$6:$A$13,0))),"— check the team number —"))</f>
        <v/>
      </c>
      <c r="H38" s="25" t="str">
        <f t="array" ref="H38">IF($E38="","",IFERROR(IF(INDEX('INTER-2 Teams'!$B$6:$B$13,MATCH($E38,'INTER-2 Teams'!$A$6:$A$13,0))="","",INDEX('INTER-2 Teams'!$B$6:$B$13,MATCH($E38,'INTER-2 Teams'!$A$6:$A$13,0))),""))</f>
        <v/>
      </c>
    </row>
    <row r="39" ht="15.75" customHeight="1">
      <c r="A39" s="22">
        <v>32.0</v>
      </c>
      <c r="B39" s="26"/>
      <c r="C39" s="26"/>
      <c r="D39" s="26"/>
      <c r="E39" s="27"/>
      <c r="F39" s="26"/>
      <c r="G39" s="25" t="str">
        <f t="array" ref="G39">IF($E39="","",IFERROR(IF(INDEX('INTER-2 Teams'!$C$6:$C$13,MATCH($E39,'INTER-2 Teams'!$A$6:$A$13,0))="","— team row not filled yet —",INDEX('INTER-2 Teams'!$C$6:$C$13,MATCH($E39,'INTER-2 Teams'!$A$6:$A$13,0))),"— check the team number —"))</f>
        <v/>
      </c>
      <c r="H39" s="25" t="str">
        <f t="array" ref="H39">IF($E39="","",IFERROR(IF(INDEX('INTER-2 Teams'!$B$6:$B$13,MATCH($E39,'INTER-2 Teams'!$A$6:$A$13,0))="","",INDEX('INTER-2 Teams'!$B$6:$B$13,MATCH($E39,'INTER-2 Teams'!$A$6:$A$13,0))),""))</f>
        <v/>
      </c>
    </row>
    <row r="40" ht="15.75" customHeight="1">
      <c r="A40" s="22">
        <v>33.0</v>
      </c>
      <c r="B40" s="26"/>
      <c r="C40" s="26"/>
      <c r="D40" s="26"/>
      <c r="E40" s="27"/>
      <c r="F40" s="26"/>
      <c r="G40" s="25" t="str">
        <f t="array" ref="G40">IF($E40="","",IFERROR(IF(INDEX('INTER-2 Teams'!$C$6:$C$13,MATCH($E40,'INTER-2 Teams'!$A$6:$A$13,0))="","— team row not filled yet —",INDEX('INTER-2 Teams'!$C$6:$C$13,MATCH($E40,'INTER-2 Teams'!$A$6:$A$13,0))),"— check the team number —"))</f>
        <v/>
      </c>
      <c r="H40" s="25" t="str">
        <f t="array" ref="H40">IF($E40="","",IFERROR(IF(INDEX('INTER-2 Teams'!$B$6:$B$13,MATCH($E40,'INTER-2 Teams'!$A$6:$A$13,0))="","",INDEX('INTER-2 Teams'!$B$6:$B$13,MATCH($E40,'INTER-2 Teams'!$A$6:$A$13,0))),""))</f>
        <v/>
      </c>
    </row>
    <row r="41" ht="15.75" customHeight="1"/>
    <row r="42" ht="15.75" customHeight="1">
      <c r="A42" s="2" t="s">
        <v>212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B6:F40">
    <cfRule type="expression" dxfId="1" priority="1">
      <formula>AND($B6&lt;&gt;"",COUNTIFS($B$6:$B$40,$B6,$C$6:$C$40,$C6)&gt;1)</formula>
    </cfRule>
  </conditionalFormatting>
  <dataValidations>
    <dataValidation type="decimal" allowBlank="1" sqref="E6:E40">
      <formula1>1.0</formula1>
      <formula2>8.0</formula2>
    </dataValidation>
  </dataValidations>
  <printOptions/>
  <pageMargins bottom="1.0" footer="0.0" header="0.0" left="0.75" right="0.75" top="1.0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1.43"/>
    <col customWidth="1" min="2" max="3" width="16.0"/>
    <col customWidth="1" min="4" max="4" width="12.0"/>
    <col customWidth="1" min="5" max="5" width="50.0"/>
    <col customWidth="1" min="6" max="26" width="8.71"/>
  </cols>
  <sheetData>
    <row r="1">
      <c r="A1" s="5" t="s">
        <v>311</v>
      </c>
    </row>
    <row r="2">
      <c r="A2" s="2" t="s">
        <v>312</v>
      </c>
    </row>
    <row r="4">
      <c r="A4" s="30" t="s">
        <v>313</v>
      </c>
      <c r="C4" s="31">
        <v>2.0</v>
      </c>
      <c r="E4" s="2" t="s">
        <v>314</v>
      </c>
    </row>
    <row r="6" ht="30.0" customHeight="1">
      <c r="A6" s="32" t="s">
        <v>82</v>
      </c>
      <c r="B6" s="33" t="s">
        <v>315</v>
      </c>
      <c r="C6" s="33" t="s">
        <v>316</v>
      </c>
      <c r="D6" s="33" t="s">
        <v>317</v>
      </c>
    </row>
    <row r="7">
      <c r="A7" s="34" t="str">
        <f>Projects!B5</f>
        <v>P1 · Tier-1 deflection — HR &amp; payroll SaaS</v>
      </c>
      <c r="B7" s="35">
        <f>COUNTIF('INTER-1 Teams'!$C$6:$C$14,$A7)</f>
        <v>1</v>
      </c>
      <c r="C7" s="35">
        <f>COUNTIF('INTER-2 Teams'!$C$6:$C$13,$A7)</f>
        <v>1</v>
      </c>
      <c r="D7" s="36">
        <f t="shared" ref="D7:D15" si="1">B7+C7</f>
        <v>2</v>
      </c>
    </row>
    <row r="8">
      <c r="A8" s="34" t="str">
        <f>Projects!B6</f>
        <v>P2 · Agent-assist copilot — B2B payments fintech</v>
      </c>
      <c r="B8" s="35">
        <f>COUNTIF('INTER-1 Teams'!$C$6:$C$14,$A8)</f>
        <v>1</v>
      </c>
      <c r="C8" s="35">
        <f>COUNTIF('INTER-2 Teams'!$C$6:$C$13,$A8)</f>
        <v>1</v>
      </c>
      <c r="D8" s="36">
        <f t="shared" si="1"/>
        <v>2</v>
      </c>
    </row>
    <row r="9">
      <c r="A9" s="34" t="str">
        <f>Projects!B7</f>
        <v>P3 · Proactive incident communicator — DevOps SaaS</v>
      </c>
      <c r="B9" s="35">
        <f>COUNTIF('INTER-1 Teams'!$C$6:$C$14,$A9)</f>
        <v>1</v>
      </c>
      <c r="C9" s="35">
        <f>COUNTIF('INTER-2 Teams'!$C$6:$C$13,$A9)</f>
        <v>0</v>
      </c>
      <c r="D9" s="36">
        <f t="shared" si="1"/>
        <v>1</v>
      </c>
    </row>
    <row r="10">
      <c r="A10" s="34" t="str">
        <f>Projects!B8</f>
        <v>P4 · Refund &amp; cancellation agent — e-commerce logistics</v>
      </c>
      <c r="B10" s="35">
        <f>COUNTIF('INTER-1 Teams'!$C$6:$C$14,$A10)</f>
        <v>1</v>
      </c>
      <c r="C10" s="35">
        <f>COUNTIF('INTER-2 Teams'!$C$6:$C$13,$A10)</f>
        <v>1</v>
      </c>
      <c r="D10" s="36">
        <f t="shared" si="1"/>
        <v>2</v>
      </c>
    </row>
    <row r="11">
      <c r="A11" s="34" t="str">
        <f>Projects!B9</f>
        <v>P5 · Multilingual support agent — ed-tech LMS</v>
      </c>
      <c r="B11" s="35">
        <f>COUNTIF('INTER-1 Teams'!$C$6:$C$14,$A11)</f>
        <v>0</v>
      </c>
      <c r="C11" s="35">
        <f>COUNTIF('INTER-2 Teams'!$C$6:$C$13,$A11)</f>
        <v>1</v>
      </c>
      <c r="D11" s="36">
        <f t="shared" si="1"/>
        <v>1</v>
      </c>
    </row>
    <row r="12">
      <c r="A12" s="34" t="str">
        <f>Projects!B10</f>
        <v>P6 · Churn-prevention support agent — project-management SaaS</v>
      </c>
      <c r="B12" s="35">
        <f>COUNTIF('INTER-1 Teams'!$C$6:$C$14,$A12)</f>
        <v>1</v>
      </c>
      <c r="C12" s="35">
        <f>COUNTIF('INTER-2 Teams'!$C$6:$C$13,$A12)</f>
        <v>1</v>
      </c>
      <c r="D12" s="36">
        <f t="shared" si="1"/>
        <v>2</v>
      </c>
    </row>
    <row r="13">
      <c r="A13" s="34" t="str">
        <f>Projects!B11</f>
        <v>P7 · SLA-aware prioritisation — cybersecurity SaaS</v>
      </c>
      <c r="B13" s="35">
        <f>COUNTIF('INTER-1 Teams'!$C$6:$C$14,$A13)</f>
        <v>0</v>
      </c>
      <c r="C13" s="35">
        <f>COUNTIF('INTER-2 Teams'!$C$6:$C$13,$A13)</f>
        <v>1</v>
      </c>
      <c r="D13" s="36">
        <f t="shared" si="1"/>
        <v>1</v>
      </c>
    </row>
    <row r="14">
      <c r="A14" s="34" t="str">
        <f>Projects!B12</f>
        <v>P8 · Voice-of-customer synthesis — hospitality-tech SaaS</v>
      </c>
      <c r="B14" s="35">
        <f>COUNTIF('INTER-1 Teams'!$C$6:$C$14,$A14)</f>
        <v>1</v>
      </c>
      <c r="C14" s="35">
        <f>COUNTIF('INTER-2 Teams'!$C$6:$C$13,$A14)</f>
        <v>0</v>
      </c>
      <c r="D14" s="36">
        <f t="shared" si="1"/>
        <v>1</v>
      </c>
    </row>
    <row r="15">
      <c r="A15" s="34" t="str">
        <f>Projects!B13</f>
        <v>Own project (bring your own — 00_pitch.md before Session 3)</v>
      </c>
      <c r="B15" s="35">
        <f>COUNTIF('INTER-1 Teams'!$C$6:$C$14,$A15)</f>
        <v>2</v>
      </c>
      <c r="C15" s="35">
        <f>COUNTIF('INTER-2 Teams'!$C$6:$C$13,$A15)</f>
        <v>1</v>
      </c>
      <c r="D15" s="36">
        <f t="shared" si="1"/>
        <v>3</v>
      </c>
    </row>
    <row r="17">
      <c r="A17" s="3" t="s">
        <v>318</v>
      </c>
      <c r="B17" s="37" t="s">
        <v>319</v>
      </c>
      <c r="C17" s="37" t="s">
        <v>320</v>
      </c>
    </row>
    <row r="18">
      <c r="A18" s="38" t="s">
        <v>321</v>
      </c>
      <c r="B18" s="36">
        <f>COUNTA('INTER-1 Students'!$B$6:$B$42)</f>
        <v>19</v>
      </c>
      <c r="C18" s="36">
        <f>COUNTA('INTER-2 Students'!$B$6:$B$40)</f>
        <v>23</v>
      </c>
    </row>
    <row r="19">
      <c r="A19" s="38" t="s">
        <v>322</v>
      </c>
      <c r="B19" s="36">
        <f>COUNTIFS('INTER-1 Students'!$B$6:$B$42,"&lt;&gt;",'INTER-1 Students'!$E$6:$E$42,"")</f>
        <v>0</v>
      </c>
      <c r="C19" s="36">
        <f>COUNTIFS('INTER-2 Students'!$B$6:$B$40,"&lt;&gt;",'INTER-2 Students'!$E$6:$E$40,"")</f>
        <v>0</v>
      </c>
    </row>
    <row r="20">
      <c r="A20" s="38" t="s">
        <v>323</v>
      </c>
      <c r="B20" s="36">
        <f>COUNTA('INTER-1 Teams'!$C$6:$C$14)</f>
        <v>9</v>
      </c>
      <c r="C20" s="36">
        <f>COUNTA('INTER-2 Teams'!$C$6:$C$13)</f>
        <v>7</v>
      </c>
    </row>
    <row r="21" ht="15.75" customHeight="1">
      <c r="A21" s="38" t="s">
        <v>324</v>
      </c>
      <c r="B21" s="36">
        <f>COUNTIFS('INTER-1 Teams'!$H$6:$H$14,"&gt;=4",'INTER-1 Teams'!$H$6:$H$14,"&lt;=5")</f>
        <v>5</v>
      </c>
      <c r="C21" s="36">
        <f>COUNTIFS('INTER-2 Teams'!$H$6:$H$13,"&gt;=4",'INTER-2 Teams'!$H$6:$H$13,"&lt;=5")</f>
        <v>5</v>
      </c>
    </row>
    <row r="22" ht="15.75" customHeight="1">
      <c r="A22" s="38" t="s">
        <v>325</v>
      </c>
      <c r="B22" s="36">
        <f>COUNTIF('INTER-1 Teams'!$C$6:$C$14,"Own*")</f>
        <v>2</v>
      </c>
      <c r="C22" s="36">
        <f>COUNTIF('INTER-2 Teams'!$C$6:$C$13,"Own*")</f>
        <v>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7:C14">
    <cfRule type="expression" dxfId="1" priority="1">
      <formula>B7&gt;$C$4</formula>
    </cfRule>
  </conditionalFormatting>
  <printOptions/>
  <pageMargins bottom="1.0" footer="0.0" header="0.0" left="0.75" right="0.75" top="1.0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2026-10-12T21:19:13Z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